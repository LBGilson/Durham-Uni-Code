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G\Desktop\Coding\DU_coding\"/>
    </mc:Choice>
  </mc:AlternateContent>
  <xr:revisionPtr revIDLastSave="0" documentId="13_ncr:1_{4BEE0B41-0D00-40EB-8499-ACE570291CA5}" xr6:coauthVersionLast="47" xr6:coauthVersionMax="47" xr10:uidLastSave="{00000000-0000-0000-0000-000000000000}"/>
  <bookViews>
    <workbookView xWindow="-80" yWindow="-80" windowWidth="25760" windowHeight="15440" xr2:uid="{699D5C0C-ABAE-42D7-9C88-AE200ADD06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7" i="1" a="1"/>
  <c r="R17" i="1" s="1"/>
  <c r="R21" i="1"/>
  <c r="R20" i="1"/>
  <c r="R18" i="1"/>
  <c r="J30" i="1"/>
  <c r="E19" i="1" l="1"/>
  <c r="D19" i="1"/>
  <c r="F37" i="1"/>
  <c r="E37" i="1"/>
  <c r="I37" i="1" s="1"/>
  <c r="K37" i="1" s="1"/>
  <c r="D37" i="1"/>
  <c r="H37" i="1" s="1"/>
  <c r="J37" i="1" s="1"/>
  <c r="F36" i="1"/>
  <c r="E36" i="1"/>
  <c r="I36" i="1" s="1"/>
  <c r="K36" i="1" s="1"/>
  <c r="D36" i="1"/>
  <c r="H36" i="1" s="1"/>
  <c r="J36" i="1" s="1"/>
  <c r="F35" i="1"/>
  <c r="E35" i="1"/>
  <c r="I35" i="1" s="1"/>
  <c r="K35" i="1" s="1"/>
  <c r="D35" i="1"/>
  <c r="H35" i="1" s="1"/>
  <c r="J35" i="1" s="1"/>
  <c r="F34" i="1"/>
  <c r="E34" i="1"/>
  <c r="I34" i="1" s="1"/>
  <c r="K34" i="1" s="1"/>
  <c r="D34" i="1"/>
  <c r="H34" i="1" s="1"/>
  <c r="J34" i="1" s="1"/>
  <c r="H33" i="1"/>
  <c r="F33" i="1"/>
  <c r="E33" i="1"/>
  <c r="I33" i="1" s="1"/>
  <c r="D33" i="1"/>
  <c r="F32" i="1"/>
  <c r="E32" i="1"/>
  <c r="I32" i="1" s="1"/>
  <c r="K32" i="1" s="1"/>
  <c r="D32" i="1"/>
  <c r="H32" i="1" s="1"/>
  <c r="J32" i="1" s="1"/>
  <c r="F31" i="1"/>
  <c r="E31" i="1"/>
  <c r="I31" i="1" s="1"/>
  <c r="K31" i="1" s="1"/>
  <c r="D31" i="1"/>
  <c r="H31" i="1" s="1"/>
  <c r="F30" i="1"/>
  <c r="E30" i="1"/>
  <c r="I30" i="1" s="1"/>
  <c r="D30" i="1"/>
  <c r="H30" i="1" s="1"/>
  <c r="F8" i="1"/>
  <c r="E8" i="1"/>
  <c r="I8" i="1" s="1"/>
  <c r="K8" i="1" s="1"/>
  <c r="D8" i="1"/>
  <c r="H8" i="1" s="1"/>
  <c r="J8" i="1" s="1"/>
  <c r="F7" i="1"/>
  <c r="E7" i="1"/>
  <c r="I7" i="1" s="1"/>
  <c r="K7" i="1" s="1"/>
  <c r="D7" i="1"/>
  <c r="H7" i="1" s="1"/>
  <c r="J7" i="1" s="1"/>
  <c r="F6" i="1"/>
  <c r="E6" i="1"/>
  <c r="I6" i="1" s="1"/>
  <c r="K6" i="1" s="1"/>
  <c r="D6" i="1"/>
  <c r="H6" i="1" s="1"/>
  <c r="J6" i="1" s="1"/>
  <c r="F5" i="1"/>
  <c r="E5" i="1"/>
  <c r="I5" i="1" s="1"/>
  <c r="K5" i="1" s="1"/>
  <c r="D5" i="1"/>
  <c r="H5" i="1" s="1"/>
  <c r="J5" i="1" s="1"/>
  <c r="F4" i="1"/>
  <c r="E4" i="1"/>
  <c r="I4" i="1" s="1"/>
  <c r="K4" i="1" s="1"/>
  <c r="D4" i="1"/>
  <c r="H4" i="1" s="1"/>
  <c r="F3" i="1"/>
  <c r="E3" i="1"/>
  <c r="I3" i="1" s="1"/>
  <c r="K3" i="1" s="1"/>
  <c r="D3" i="1"/>
  <c r="H3" i="1" s="1"/>
  <c r="J3" i="1" s="1"/>
  <c r="P2" i="1"/>
  <c r="O2" i="1"/>
  <c r="F2" i="1"/>
  <c r="E2" i="1"/>
  <c r="I2" i="1" s="1"/>
  <c r="D2" i="1"/>
  <c r="H2" i="1" s="1"/>
  <c r="J33" i="1" l="1"/>
  <c r="J4" i="1"/>
  <c r="K33" i="1"/>
  <c r="J31" i="1"/>
  <c r="M34" i="1" a="1"/>
  <c r="G42" i="1" a="1"/>
  <c r="K30" i="1"/>
  <c r="M36" i="1" a="1"/>
  <c r="G45" i="1" a="1"/>
  <c r="M6" i="1" a="1"/>
  <c r="J2" i="1"/>
  <c r="K2" i="1"/>
  <c r="M9" i="1" a="1"/>
  <c r="M6" i="1" l="1"/>
  <c r="M7" i="1"/>
  <c r="N7" i="1"/>
  <c r="N6" i="1"/>
  <c r="N10" i="1"/>
  <c r="M10" i="1"/>
  <c r="N9" i="1"/>
  <c r="M9" i="1"/>
  <c r="H46" i="1"/>
  <c r="G46" i="1"/>
  <c r="H45" i="1"/>
  <c r="G45" i="1"/>
  <c r="H43" i="1"/>
  <c r="G43" i="1"/>
  <c r="H42" i="1"/>
  <c r="G42" i="1"/>
  <c r="N37" i="1"/>
  <c r="M37" i="1"/>
  <c r="N36" i="1"/>
  <c r="M36" i="1"/>
  <c r="N34" i="1"/>
  <c r="M34" i="1"/>
  <c r="M35" i="1"/>
  <c r="N35" i="1"/>
  <c r="N13" i="1" l="1"/>
  <c r="O17" i="1" s="1"/>
  <c r="N12" i="1"/>
  <c r="O30" i="1" s="1"/>
  <c r="N40" i="1" l="1"/>
  <c r="N41" i="1"/>
  <c r="N45" i="1"/>
  <c r="N17" i="1"/>
  <c r="O16" i="1"/>
  <c r="N15" i="1"/>
  <c r="N16" i="1"/>
  <c r="O43" i="1"/>
  <c r="N43" i="1"/>
  <c r="O15" i="1"/>
  <c r="O13" i="1" s="1"/>
  <c r="O45" i="1" l="1"/>
  <c r="O12" i="1"/>
  <c r="P30" i="1" l="1"/>
  <c r="R19" i="1"/>
  <c r="N44" i="1"/>
  <c r="O40" i="1" s="1"/>
  <c r="R23" i="1" s="1"/>
  <c r="O44" i="1"/>
  <c r="O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<sst xmlns="http://schemas.openxmlformats.org/spreadsheetml/2006/main" count="75" uniqueCount="49">
  <si>
    <t>Diameter (cm)</t>
  </si>
  <si>
    <t>Err on Diam (cm)</t>
  </si>
  <si>
    <t>P_m (m) Lucas</t>
  </si>
  <si>
    <t>P_m (m) Reuben</t>
  </si>
  <si>
    <t>Err on P_m (m)</t>
  </si>
  <si>
    <t>(m-1) number of fringe</t>
  </si>
  <si>
    <t>(P_m)^2 L</t>
  </si>
  <si>
    <t>(P_m)^2 R</t>
  </si>
  <si>
    <t>Err on (P_m)^2 L</t>
  </si>
  <si>
    <t>Err on (P_m)^2 R</t>
  </si>
  <si>
    <t>Mag</t>
  </si>
  <si>
    <t>Mag_err</t>
  </si>
  <si>
    <t>Wavelength</t>
  </si>
  <si>
    <t>Wavelength err</t>
  </si>
  <si>
    <t>gradient(L)</t>
  </si>
  <si>
    <t>gradient (R)</t>
  </si>
  <si>
    <t>R (Lucas)</t>
  </si>
  <si>
    <t>R (Reuben)</t>
  </si>
  <si>
    <t>Err on R by</t>
  </si>
  <si>
    <t>Lucas</t>
  </si>
  <si>
    <t>Reuben</t>
  </si>
  <si>
    <t>Gradient</t>
  </si>
  <si>
    <t>Task "=2</t>
  </si>
  <si>
    <t>Diameter (cm) R</t>
  </si>
  <si>
    <t>R</t>
  </si>
  <si>
    <t>R err</t>
  </si>
  <si>
    <t>Gradient (L)</t>
  </si>
  <si>
    <t>Err grad (L)</t>
  </si>
  <si>
    <t>Gradient (R</t>
  </si>
  <si>
    <t>Err grad (R</t>
  </si>
  <si>
    <t>Wavelength (Lucas)</t>
  </si>
  <si>
    <t>Wavelength (Reuben)</t>
  </si>
  <si>
    <t>M</t>
  </si>
  <si>
    <t>gradient</t>
  </si>
  <si>
    <t>\lambda</t>
  </si>
  <si>
    <t>R_0 Comptonents Err</t>
  </si>
  <si>
    <t>R_0 Variables</t>
  </si>
  <si>
    <t>Diameter(cm)L</t>
  </si>
  <si>
    <t>6.0 + 6</t>
  </si>
  <si>
    <t>Wave</t>
  </si>
  <si>
    <t>grad</t>
  </si>
  <si>
    <t>gwave</t>
  </si>
  <si>
    <t>rho</t>
  </si>
  <si>
    <t>Ml</t>
  </si>
  <si>
    <t>sl</t>
  </si>
  <si>
    <t>A</t>
  </si>
  <si>
    <t>B</t>
  </si>
  <si>
    <t>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</si>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</sst>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v>Lucas</c:v>
          </c:tx>
          <c:spPr>
            <a:ln w="25400">
              <a:noFill/>
            </a:ln>
          </c:spPr>
          <c:errBars>
            <c:errDir val="x"/>
            <c:errBarType val="both"/>
            <c:errValType val="fixedVal"/>
            <c:noEndCap val="0"/>
            <c:val val="0"/>
          </c:errBars>
          <c:errBars>
            <c:errDir val="y"/>
            <c:errBarType val="both"/>
            <c:errValType val="cust"/>
            <c:noEndCap val="0"/>
            <c:plus>
              <c:numRef>
                <c:f>Sheet1!$J$2:$J$8</c:f>
                <c:numCache>
                  <c:formatCode>General</c:formatCode>
                  <c:ptCount val="7"/>
                  <c:pt idx="0">
                    <c:v>8.6000000000000007E-6</c:v>
                  </c:pt>
                  <c:pt idx="1">
                    <c:v>1.0499999999999999E-5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1.45E-5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plus>
            <c:minus>
              <c:numRef>
                <c:f>Sheet1!$J$2:$J$8</c:f>
                <c:numCache>
                  <c:formatCode>General</c:formatCode>
                  <c:ptCount val="7"/>
                  <c:pt idx="0">
                    <c:v>8.6000000000000007E-6</c:v>
                  </c:pt>
                  <c:pt idx="1">
                    <c:v>1.0499999999999999E-5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1.45E-5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minus>
          </c:errBars>
          <c:xVal>
            <c:numRef>
              <c:f>Sheet1!$G$2:$G$8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Sheet1!$H$2:$H$8</c:f>
              <c:numCache>
                <c:formatCode>General</c:formatCode>
                <c:ptCount val="7"/>
                <c:pt idx="0">
                  <c:v>4.6224999999999993E-4</c:v>
                </c:pt>
                <c:pt idx="1">
                  <c:v>6.890624999999999E-4</c:v>
                </c:pt>
                <c:pt idx="2">
                  <c:v>8.9999999999999998E-4</c:v>
                </c:pt>
                <c:pt idx="3">
                  <c:v>1.1055625000000002E-3</c:v>
                </c:pt>
                <c:pt idx="4">
                  <c:v>1.3140624999999999E-3</c:v>
                </c:pt>
                <c:pt idx="5">
                  <c:v>1.5015625000000001E-3</c:v>
                </c:pt>
                <c:pt idx="6">
                  <c:v>1.6809999999999996E-3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92-4CC9-9300-C72DAD35C880}"/>
            </c:ext>
          </c:extLst>
        </c:ser>
        <c:ser>
          <c:idx val="3"/>
          <c:order val="1"/>
          <c:tx>
            <c:v>Reuben</c:v>
          </c:tx>
          <c:spPr>
            <a:ln w="25400">
              <a:noFill/>
            </a:ln>
          </c:spPr>
          <c:errBars>
            <c:errDir val="x"/>
            <c:errBarType val="both"/>
            <c:errValType val="fixedVal"/>
            <c:noEndCap val="0"/>
            <c:val val="0"/>
          </c:errBars>
          <c:errBars>
            <c:errDir val="y"/>
            <c:errBarType val="both"/>
            <c:errValType val="cust"/>
            <c:noEndCap val="0"/>
            <c:plus>
              <c:numRef>
                <c:f>Sheet1!$K$2:$K$8</c:f>
                <c:numCache>
                  <c:formatCode>General</c:formatCode>
                  <c:ptCount val="7"/>
                  <c:pt idx="0">
                    <c:v>8.5000000000000016E-6</c:v>
                  </c:pt>
                  <c:pt idx="1">
                    <c:v>1.0400000000000002E-5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1.4400000000000001E-5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plus>
            <c:minus>
              <c:numRef>
                <c:f>Sheet1!$K$2:$K$8</c:f>
                <c:numCache>
                  <c:formatCode>General</c:formatCode>
                  <c:ptCount val="7"/>
                  <c:pt idx="0">
                    <c:v>8.5000000000000016E-6</c:v>
                  </c:pt>
                  <c:pt idx="1">
                    <c:v>1.0400000000000002E-5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1.4400000000000001E-5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minus>
          </c:errBars>
          <c:xVal>
            <c:numRef>
              <c:f>Sheet1!$G$2:$G$8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Sheet1!$I$2:$I$8</c:f>
              <c:numCache>
                <c:formatCode>General</c:formatCode>
                <c:ptCount val="7"/>
                <c:pt idx="0">
                  <c:v>4.5156250000000009E-4</c:v>
                </c:pt>
                <c:pt idx="1">
                  <c:v>6.7600000000000017E-4</c:v>
                </c:pt>
                <c:pt idx="2">
                  <c:v>8.9999999999999998E-4</c:v>
                </c:pt>
                <c:pt idx="3">
                  <c:v>1.1055625000000002E-3</c:v>
                </c:pt>
                <c:pt idx="4">
                  <c:v>1.2960000000000003E-3</c:v>
                </c:pt>
                <c:pt idx="5">
                  <c:v>1.5015625000000001E-3</c:v>
                </c:pt>
                <c:pt idx="6">
                  <c:v>1.6809999999999996E-3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92-4CC9-9300-C72DAD35C880}"/>
            </c:ext>
          </c:extLst>
        </c:ser>
        <c:ser>
          <c:idx val="0"/>
          <c:order val="2"/>
          <c:tx>
            <c:v>Lucas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Sheet1!$J$2:$J$8</c:f>
                <c:numCache>
                  <c:formatCode>General</c:formatCode>
                  <c:ptCount val="7"/>
                  <c:pt idx="0">
                    <c:v>8.6000000000000007E-6</c:v>
                  </c:pt>
                  <c:pt idx="1">
                    <c:v>1.0499999999999999E-5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1.45E-5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plus>
            <c:minus>
              <c:numRef>
                <c:f>Sheet1!$J$2:$J$8</c:f>
                <c:numCache>
                  <c:formatCode>General</c:formatCode>
                  <c:ptCount val="7"/>
                  <c:pt idx="0">
                    <c:v>8.6000000000000007E-6</c:v>
                  </c:pt>
                  <c:pt idx="1">
                    <c:v>1.0499999999999999E-5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1.45E-5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Sheet1!$H$2:$H$8</c:f>
              <c:numCache>
                <c:formatCode>General</c:formatCode>
                <c:ptCount val="7"/>
                <c:pt idx="0">
                  <c:v>4.6224999999999993E-4</c:v>
                </c:pt>
                <c:pt idx="1">
                  <c:v>6.890624999999999E-4</c:v>
                </c:pt>
                <c:pt idx="2">
                  <c:v>8.9999999999999998E-4</c:v>
                </c:pt>
                <c:pt idx="3">
                  <c:v>1.1055625000000002E-3</c:v>
                </c:pt>
                <c:pt idx="4">
                  <c:v>1.3140624999999999E-3</c:v>
                </c:pt>
                <c:pt idx="5">
                  <c:v>1.5015625000000001E-3</c:v>
                </c:pt>
                <c:pt idx="6">
                  <c:v>1.6809999999999996E-3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92-4CC9-9300-C72DAD35C880}"/>
            </c:ext>
          </c:extLst>
        </c:ser>
        <c:ser>
          <c:idx val="1"/>
          <c:order val="3"/>
          <c:tx>
            <c:v>Reuben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Sheet1!$K$2:$K$8</c:f>
                <c:numCache>
                  <c:formatCode>General</c:formatCode>
                  <c:ptCount val="7"/>
                  <c:pt idx="0">
                    <c:v>8.5000000000000016E-6</c:v>
                  </c:pt>
                  <c:pt idx="1">
                    <c:v>1.0400000000000002E-5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1.4400000000000001E-5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plus>
            <c:minus>
              <c:numRef>
                <c:f>Sheet1!$K$2:$K$8</c:f>
                <c:numCache>
                  <c:formatCode>General</c:formatCode>
                  <c:ptCount val="7"/>
                  <c:pt idx="0">
                    <c:v>8.5000000000000016E-6</c:v>
                  </c:pt>
                  <c:pt idx="1">
                    <c:v>1.0400000000000002E-5</c:v>
                  </c:pt>
                  <c:pt idx="2">
                    <c:v>1.2E-5</c:v>
                  </c:pt>
                  <c:pt idx="3">
                    <c:v>1.3300000000000003E-5</c:v>
                  </c:pt>
                  <c:pt idx="4">
                    <c:v>1.4400000000000001E-5</c:v>
                  </c:pt>
                  <c:pt idx="5">
                    <c:v>1.5500000000000001E-5</c:v>
                  </c:pt>
                  <c:pt idx="6">
                    <c:v>1.6399999999999999E-5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Sheet1!$I$2:$I$8</c:f>
              <c:numCache>
                <c:formatCode>General</c:formatCode>
                <c:ptCount val="7"/>
                <c:pt idx="0">
                  <c:v>4.5156250000000009E-4</c:v>
                </c:pt>
                <c:pt idx="1">
                  <c:v>6.7600000000000017E-4</c:v>
                </c:pt>
                <c:pt idx="2">
                  <c:v>8.9999999999999998E-4</c:v>
                </c:pt>
                <c:pt idx="3">
                  <c:v>1.1055625000000002E-3</c:v>
                </c:pt>
                <c:pt idx="4">
                  <c:v>1.2960000000000003E-3</c:v>
                </c:pt>
                <c:pt idx="5">
                  <c:v>1.5015625000000001E-3</c:v>
                </c:pt>
                <c:pt idx="6">
                  <c:v>1.6809999999999996E-3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92-4CC9-9300-C72DAD35C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9583"/>
        <c:axId val="53430543"/>
      </c:scatterChart>
      <c:valAx>
        <c:axId val="53429583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Fringe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0543"/>
        <c:crosses val="autoZero"/>
        <c:crossBetween val="midCat"/>
      </c:valAx>
      <c:valAx>
        <c:axId val="53430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(P_m)^2  (m^2)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9583"/>
        <c:crosses val="autoZero"/>
        <c:crossBetween val="midCat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20606266083341937"/>
          <c:y val="0.10795198012753079"/>
          <c:w val="0.10454694622387213"/>
          <c:h val="0.14083631460107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Lucas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Sheet1!$J$30:$J$37</c:f>
                <c:numCache>
                  <c:formatCode>General</c:formatCode>
                  <c:ptCount val="8"/>
                  <c:pt idx="0">
                    <c:v>8.5000000000000016E-6</c:v>
                  </c:pt>
                  <c:pt idx="1">
                    <c:v>1.06E-5</c:v>
                  </c:pt>
                  <c:pt idx="2">
                    <c:v>1.1800000000000002E-5</c:v>
                  </c:pt>
                  <c:pt idx="3">
                    <c:v>1.3200000000000001E-5</c:v>
                  </c:pt>
                  <c:pt idx="4">
                    <c:v>1.45E-5</c:v>
                  </c:pt>
                  <c:pt idx="5">
                    <c:v>1.56E-5</c:v>
                  </c:pt>
                  <c:pt idx="6">
                    <c:v>1.66E-5</c:v>
                  </c:pt>
                  <c:pt idx="7">
                    <c:v>1.7600000000000004E-5</c:v>
                  </c:pt>
                </c:numCache>
              </c:numRef>
            </c:plus>
            <c:minus>
              <c:numRef>
                <c:f>Sheet1!$J$30:$J$37</c:f>
                <c:numCache>
                  <c:formatCode>General</c:formatCode>
                  <c:ptCount val="8"/>
                  <c:pt idx="0">
                    <c:v>8.5000000000000016E-6</c:v>
                  </c:pt>
                  <c:pt idx="1">
                    <c:v>1.06E-5</c:v>
                  </c:pt>
                  <c:pt idx="2">
                    <c:v>1.1800000000000002E-5</c:v>
                  </c:pt>
                  <c:pt idx="3">
                    <c:v>1.3200000000000001E-5</c:v>
                  </c:pt>
                  <c:pt idx="4">
                    <c:v>1.45E-5</c:v>
                  </c:pt>
                  <c:pt idx="5">
                    <c:v>1.56E-5</c:v>
                  </c:pt>
                  <c:pt idx="6">
                    <c:v>1.66E-5</c:v>
                  </c:pt>
                  <c:pt idx="7">
                    <c:v>1.7600000000000004E-5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Sheet1!$G$30:$G$37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Sheet1!$H$30:$H$37</c:f>
              <c:numCache>
                <c:formatCode>General</c:formatCode>
                <c:ptCount val="8"/>
                <c:pt idx="0">
                  <c:v>4.5156250000000009E-4</c:v>
                </c:pt>
                <c:pt idx="1">
                  <c:v>7.0224999999999997E-4</c:v>
                </c:pt>
                <c:pt idx="2">
                  <c:v>8.7025000000000015E-4</c:v>
                </c:pt>
                <c:pt idx="3">
                  <c:v>1.0890000000000001E-3</c:v>
                </c:pt>
                <c:pt idx="4">
                  <c:v>1.3140624999999999E-3</c:v>
                </c:pt>
                <c:pt idx="5">
                  <c:v>1.521E-3</c:v>
                </c:pt>
                <c:pt idx="6">
                  <c:v>1.7222500000000003E-3</c:v>
                </c:pt>
                <c:pt idx="7">
                  <c:v>1.9360000000000004E-3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F4-4BF0-9AF7-92ECB05F90C9}"/>
            </c:ext>
          </c:extLst>
        </c:ser>
        <c:ser>
          <c:idx val="1"/>
          <c:order val="1"/>
          <c:tx>
            <c:v>Reuben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Sheet1!$K$30:$K$37</c:f>
                <c:numCache>
                  <c:formatCode>General</c:formatCode>
                  <c:ptCount val="8"/>
                  <c:pt idx="0">
                    <c:v>8.5000000000000016E-6</c:v>
                  </c:pt>
                  <c:pt idx="1">
                    <c:v>1.0499999999999999E-5</c:v>
                  </c:pt>
                  <c:pt idx="2">
                    <c:v>1.1800000000000002E-5</c:v>
                  </c:pt>
                  <c:pt idx="3">
                    <c:v>1.3200000000000001E-5</c:v>
                  </c:pt>
                  <c:pt idx="4">
                    <c:v>1.4400000000000001E-5</c:v>
                  </c:pt>
                  <c:pt idx="5">
                    <c:v>1.56E-5</c:v>
                  </c:pt>
                  <c:pt idx="6">
                    <c:v>1.6500000000000001E-5</c:v>
                  </c:pt>
                  <c:pt idx="7">
                    <c:v>1.7499999999999998E-5</c:v>
                  </c:pt>
                </c:numCache>
              </c:numRef>
            </c:plus>
            <c:minus>
              <c:numRef>
                <c:f>Sheet1!$K$30:$K$37</c:f>
                <c:numCache>
                  <c:formatCode>General</c:formatCode>
                  <c:ptCount val="8"/>
                  <c:pt idx="0">
                    <c:v>8.5000000000000016E-6</c:v>
                  </c:pt>
                  <c:pt idx="1">
                    <c:v>1.0499999999999999E-5</c:v>
                  </c:pt>
                  <c:pt idx="2">
                    <c:v>1.1800000000000002E-5</c:v>
                  </c:pt>
                  <c:pt idx="3">
                    <c:v>1.3200000000000001E-5</c:v>
                  </c:pt>
                  <c:pt idx="4">
                    <c:v>1.4400000000000001E-5</c:v>
                  </c:pt>
                  <c:pt idx="5">
                    <c:v>1.56E-5</c:v>
                  </c:pt>
                  <c:pt idx="6">
                    <c:v>1.6500000000000001E-5</c:v>
                  </c:pt>
                  <c:pt idx="7">
                    <c:v>1.7499999999999998E-5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Sheet1!$G$30:$G$37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Sheet1!$I$30:$I$37</c:f>
              <c:numCache>
                <c:formatCode>General</c:formatCode>
                <c:ptCount val="8"/>
                <c:pt idx="0">
                  <c:v>4.5156250000000009E-4</c:v>
                </c:pt>
                <c:pt idx="1">
                  <c:v>6.890624999999999E-4</c:v>
                </c:pt>
                <c:pt idx="2">
                  <c:v>8.7025000000000015E-4</c:v>
                </c:pt>
                <c:pt idx="3">
                  <c:v>1.0890000000000001E-3</c:v>
                </c:pt>
                <c:pt idx="4">
                  <c:v>1.2960000000000003E-3</c:v>
                </c:pt>
                <c:pt idx="5">
                  <c:v>1.521E-3</c:v>
                </c:pt>
                <c:pt idx="6">
                  <c:v>1.7015625000000002E-3</c:v>
                </c:pt>
                <c:pt idx="7">
                  <c:v>1.9140624999999997E-3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F4-4BF0-9AF7-92ECB05F9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9583"/>
        <c:axId val="53430543"/>
      </c:scatterChart>
      <c:valAx>
        <c:axId val="53429583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Fringe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0543"/>
        <c:crosses val="autoZero"/>
        <c:crossBetween val="midCat"/>
      </c:valAx>
      <c:valAx>
        <c:axId val="53430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(P_m)^2  (m^2)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9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0606266083341937"/>
          <c:y val="0.10795198012753079"/>
          <c:w val="0.10454694622387213"/>
          <c:h val="0.14083631460107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274309</xdr:colOff>
      <xdr:row>9</xdr:row>
      <xdr:rowOff>100647</xdr:rowOff>
    </xdr:from>
    <xdr:to>
      <xdr:col>11</xdr:col>
      <xdr:colOff>182291</xdr:colOff>
      <xdr:row>26</xdr:row>
      <xdr:rowOff>115887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5150A-6B19-49A1-B81E-9476DF7B0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573974</xdr:colOff>
      <xdr:row>39</xdr:row>
      <xdr:rowOff>19793</xdr:rowOff>
    </xdr:from>
    <xdr:to>
      <xdr:col>10</xdr:col>
      <xdr:colOff>353307</xdr:colOff>
      <xdr:row>56</xdr:row>
      <xdr:rowOff>35033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447CB5-99AC-4E08-B2E4-FA2B8AB86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D607-997F-40EB-9CB3-838A4E76F0ED}">
  <sheetPr>
    <pageSetUpPr fitToPage="1"/>
  </sheetPr>
  <dimension ref="A1:T46"/>
  <sheetViews>
    <sheetView tabSelected="1" zoomScaleNormal="100" workbookViewId="0">
      <selection activeCell="C19" sqref="C19"/>
    </sheetView>
  </sheetViews>
  <sheetFormatPr defaultRowHeight="14.5" x14ac:dyDescent="0.35"/>
  <cols>
    <col min="1" max="1" width="14.453125" customWidth="1"/>
    <col min="2" max="2" width="15.90625" customWidth="1"/>
    <col min="3" max="3" width="16.453125" customWidth="1"/>
    <col min="4" max="4" width="14.26953125" customWidth="1"/>
    <col min="5" max="5" width="18" customWidth="1"/>
    <col min="6" max="6" width="15.26953125" customWidth="1"/>
    <col min="7" max="7" width="17.36328125" customWidth="1"/>
    <col min="8" max="8" width="12.81640625" customWidth="1"/>
    <col min="9" max="9" width="11.453125" customWidth="1"/>
    <col min="10" max="10" width="14.90625" customWidth="1"/>
    <col min="11" max="11" width="13.6328125" customWidth="1"/>
    <col min="12" max="12" width="10.08984375" customWidth="1"/>
    <col min="13" max="14" width="12.1796875" bestFit="1" customWidth="1"/>
    <col min="15" max="15" width="9.7265625" customWidth="1"/>
    <col min="16" max="16" width="13.54296875" customWidth="1"/>
    <col min="18" max="18" width="18.26953125" customWidth="1"/>
    <col min="19" max="19" width="11.26953125" customWidth="1"/>
    <col min="20" max="20" width="12.08984375" customWidth="1"/>
  </cols>
  <sheetData>
    <row r="1" spans="1:20" x14ac:dyDescent="0.3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20" x14ac:dyDescent="0.35">
      <c r="A2" s="1">
        <v>4.3</v>
      </c>
      <c r="B2">
        <v>4.25</v>
      </c>
      <c r="C2">
        <v>0.04</v>
      </c>
      <c r="D2">
        <f>A2/200</f>
        <v>2.1499999999999998E-2</v>
      </c>
      <c r="E2">
        <f>B2/200</f>
        <v>2.1250000000000002E-2</v>
      </c>
      <c r="F2">
        <f>C2/200</f>
        <v>2.0000000000000001E-4</v>
      </c>
      <c r="G2">
        <v>1</v>
      </c>
      <c r="H2">
        <f>D2^2</f>
        <v>4.6224999999999993E-4</v>
      </c>
      <c r="I2">
        <f>E2^2</f>
        <v>4.5156250000000009E-4</v>
      </c>
      <c r="J2">
        <f>H2*ABS(2*F2/D2)</f>
        <v>8.6000000000000007E-6</v>
      </c>
      <c r="K2">
        <f>I2*ABS(2*F2/E2)</f>
        <v>8.5000000000000016E-6</v>
      </c>
      <c r="M2">
        <v>5</v>
      </c>
      <c r="N2">
        <v>0.2</v>
      </c>
      <c r="O2">
        <f>578*10^-9</f>
        <v>5.7800000000000001E-7</v>
      </c>
      <c r="P2">
        <f>1*10^-9</f>
        <v>1.0000000000000001E-9</v>
      </c>
      <c r="R2" t="s">
        <v>5</v>
      </c>
      <c r="S2" t="s">
        <v>6</v>
      </c>
      <c r="T2" t="s">
        <v>8</v>
      </c>
    </row>
    <row r="3" spans="1:20" x14ac:dyDescent="0.35">
      <c r="A3">
        <v>5.25</v>
      </c>
      <c r="B3" s="1">
        <v>5.2</v>
      </c>
      <c r="C3">
        <v>0.04</v>
      </c>
      <c r="D3">
        <f t="shared" ref="D3:F8" si="0">A3/200</f>
        <v>2.6249999999999999E-2</v>
      </c>
      <c r="E3">
        <f t="shared" si="0"/>
        <v>2.6000000000000002E-2</v>
      </c>
      <c r="F3">
        <f t="shared" si="0"/>
        <v>2.0000000000000001E-4</v>
      </c>
      <c r="G3">
        <v>2</v>
      </c>
      <c r="H3">
        <f t="shared" ref="H3:I8" si="1">D3^2</f>
        <v>6.890624999999999E-4</v>
      </c>
      <c r="I3">
        <f t="shared" si="1"/>
        <v>6.7600000000000017E-4</v>
      </c>
      <c r="J3">
        <f t="shared" ref="J3:J7" si="2">H3*ABS(2*F3/D3)</f>
        <v>1.0499999999999999E-5</v>
      </c>
      <c r="K3">
        <f t="shared" ref="K3:K8" si="3">I3*ABS(2*F3/E3)</f>
        <v>1.0400000000000002E-5</v>
      </c>
      <c r="R3">
        <v>1</v>
      </c>
      <c r="S3">
        <v>4.6224999999999993E-4</v>
      </c>
      <c r="T3">
        <v>8.6000000000000007E-6</v>
      </c>
    </row>
    <row r="4" spans="1:20" x14ac:dyDescent="0.35">
      <c r="A4" s="1">
        <v>6</v>
      </c>
      <c r="B4" s="1">
        <v>6</v>
      </c>
      <c r="C4">
        <v>0.04</v>
      </c>
      <c r="D4">
        <f t="shared" si="0"/>
        <v>0.03</v>
      </c>
      <c r="E4">
        <f t="shared" si="0"/>
        <v>0.03</v>
      </c>
      <c r="F4">
        <f t="shared" si="0"/>
        <v>2.0000000000000001E-4</v>
      </c>
      <c r="G4">
        <v>3</v>
      </c>
      <c r="H4">
        <f t="shared" si="1"/>
        <v>8.9999999999999998E-4</v>
      </c>
      <c r="I4">
        <f t="shared" si="1"/>
        <v>8.9999999999999998E-4</v>
      </c>
      <c r="J4">
        <f t="shared" si="2"/>
        <v>1.2E-5</v>
      </c>
      <c r="K4">
        <f t="shared" si="3"/>
        <v>1.2E-5</v>
      </c>
      <c r="R4">
        <v>2</v>
      </c>
      <c r="S4">
        <v>6.890624999999999E-4</v>
      </c>
      <c r="T4">
        <v>1.0499999999999999E-5</v>
      </c>
    </row>
    <row r="5" spans="1:20" x14ac:dyDescent="0.35">
      <c r="A5">
        <v>6.65</v>
      </c>
      <c r="B5">
        <v>6.65</v>
      </c>
      <c r="C5">
        <v>0.04</v>
      </c>
      <c r="D5">
        <f t="shared" si="0"/>
        <v>3.3250000000000002E-2</v>
      </c>
      <c r="E5">
        <f t="shared" si="0"/>
        <v>3.3250000000000002E-2</v>
      </c>
      <c r="F5">
        <f t="shared" si="0"/>
        <v>2.0000000000000001E-4</v>
      </c>
      <c r="G5">
        <v>4</v>
      </c>
      <c r="H5">
        <f t="shared" si="1"/>
        <v>1.1055625000000002E-3</v>
      </c>
      <c r="I5">
        <f t="shared" si="1"/>
        <v>1.1055625000000002E-3</v>
      </c>
      <c r="J5">
        <f t="shared" si="2"/>
        <v>1.3300000000000003E-5</v>
      </c>
      <c r="K5">
        <f t="shared" si="3"/>
        <v>1.3300000000000003E-5</v>
      </c>
      <c r="R5">
        <v>3</v>
      </c>
      <c r="S5">
        <v>8.9999999999999998E-4</v>
      </c>
      <c r="T5">
        <v>1.2E-5</v>
      </c>
    </row>
    <row r="6" spans="1:20" x14ac:dyDescent="0.35">
      <c r="A6">
        <v>7.25</v>
      </c>
      <c r="B6" s="1">
        <v>7.2</v>
      </c>
      <c r="C6">
        <v>0.04</v>
      </c>
      <c r="D6">
        <f t="shared" si="0"/>
        <v>3.6249999999999998E-2</v>
      </c>
      <c r="E6">
        <f t="shared" si="0"/>
        <v>3.6000000000000004E-2</v>
      </c>
      <c r="F6">
        <f t="shared" si="0"/>
        <v>2.0000000000000001E-4</v>
      </c>
      <c r="G6">
        <v>5</v>
      </c>
      <c r="H6">
        <f t="shared" si="1"/>
        <v>1.3140624999999999E-3</v>
      </c>
      <c r="I6">
        <f t="shared" si="1"/>
        <v>1.2960000000000003E-3</v>
      </c>
      <c r="J6">
        <f t="shared" si="2"/>
        <v>1.45E-5</v>
      </c>
      <c r="K6">
        <f t="shared" si="3"/>
        <v>1.4400000000000001E-5</v>
      </c>
      <c r="L6" t="s">
        <v>14</v>
      </c>
      <c r="M6">
        <f t="array" ref="M6:N7">LINEST(H2:H8,G2:G8,1,1)</f>
        <v>2.0340401785714284E-4</v>
      </c>
      <c r="N6">
        <v>2.7974107142857152E-4</v>
      </c>
      <c r="R6">
        <v>4</v>
      </c>
      <c r="S6">
        <v>1.1055625000000002E-3</v>
      </c>
      <c r="T6">
        <v>1.3300000000000003E-5</v>
      </c>
    </row>
    <row r="7" spans="1:20" x14ac:dyDescent="0.35">
      <c r="A7">
        <v>7.75</v>
      </c>
      <c r="B7" s="1">
        <v>7.75</v>
      </c>
      <c r="C7">
        <v>0.04</v>
      </c>
      <c r="D7">
        <f t="shared" si="0"/>
        <v>3.875E-2</v>
      </c>
      <c r="E7">
        <f t="shared" si="0"/>
        <v>3.875E-2</v>
      </c>
      <c r="F7">
        <f t="shared" si="0"/>
        <v>2.0000000000000001E-4</v>
      </c>
      <c r="G7">
        <v>6</v>
      </c>
      <c r="H7">
        <f t="shared" si="1"/>
        <v>1.5015625000000001E-3</v>
      </c>
      <c r="I7">
        <f t="shared" si="1"/>
        <v>1.5015625000000001E-3</v>
      </c>
      <c r="J7">
        <f t="shared" si="2"/>
        <v>1.5500000000000001E-5</v>
      </c>
      <c r="K7">
        <f t="shared" si="3"/>
        <v>1.5500000000000001E-5</v>
      </c>
      <c r="M7">
        <v>3.2770738426749909E-6</v>
      </c>
      <c r="N7">
        <v>1.4655519759015461E-5</v>
      </c>
      <c r="R7">
        <v>5</v>
      </c>
      <c r="S7">
        <v>1.3140624999999999E-3</v>
      </c>
      <c r="T7">
        <v>1.45E-5</v>
      </c>
    </row>
    <row r="8" spans="1:20" x14ac:dyDescent="0.35">
      <c r="A8" s="1">
        <v>8.1999999999999993</v>
      </c>
      <c r="B8" s="1">
        <v>8.1999999999999993</v>
      </c>
      <c r="C8">
        <v>0.04</v>
      </c>
      <c r="D8">
        <f t="shared" si="0"/>
        <v>4.0999999999999995E-2</v>
      </c>
      <c r="E8">
        <f t="shared" si="0"/>
        <v>4.0999999999999995E-2</v>
      </c>
      <c r="F8">
        <f t="shared" si="0"/>
        <v>2.0000000000000001E-4</v>
      </c>
      <c r="G8">
        <v>7</v>
      </c>
      <c r="H8">
        <f t="shared" si="1"/>
        <v>1.6809999999999996E-3</v>
      </c>
      <c r="I8">
        <f t="shared" si="1"/>
        <v>1.6809999999999996E-3</v>
      </c>
      <c r="J8">
        <f>H8*ABS(2*F8/D8)</f>
        <v>1.6399999999999999E-5</v>
      </c>
      <c r="K8">
        <f t="shared" si="3"/>
        <v>1.6399999999999999E-5</v>
      </c>
      <c r="R8">
        <v>6</v>
      </c>
      <c r="S8">
        <v>1.5015625000000001E-3</v>
      </c>
      <c r="T8">
        <v>1.5500000000000001E-5</v>
      </c>
    </row>
    <row r="9" spans="1:20" x14ac:dyDescent="0.35">
      <c r="L9" t="s">
        <v>15</v>
      </c>
      <c r="M9">
        <f t="array" ref="M9:N10">LINEST(I2:I8,G2:G8,1,1)</f>
        <v>2.0483705357142852E-4</v>
      </c>
      <c r="N9">
        <v>2.6803571428571458E-4</v>
      </c>
      <c r="R9">
        <v>7</v>
      </c>
      <c r="S9">
        <v>1.6809999999999996E-3</v>
      </c>
      <c r="T9">
        <v>1.6399999999999999E-5</v>
      </c>
    </row>
    <row r="10" spans="1:20" x14ac:dyDescent="0.35">
      <c r="M10">
        <v>3.3416195470737543E-6</v>
      </c>
      <c r="N10">
        <v>1.4944176924397944E-5</v>
      </c>
    </row>
    <row r="12" spans="1:20" x14ac:dyDescent="0.35">
      <c r="M12" t="s">
        <v>16</v>
      </c>
      <c r="N12">
        <f>M6/((M2^2)*O2)</f>
        <v>14.076402619871477</v>
      </c>
      <c r="O12">
        <f>SQRT((N15)^2+(N16)^2+(N17)^2)</f>
        <v>1.0861946668033047</v>
      </c>
    </row>
    <row r="13" spans="1:20" x14ac:dyDescent="0.35">
      <c r="B13" t="s">
        <v>48</v>
      </c>
      <c r="M13" t="s">
        <v>17</v>
      </c>
      <c r="N13">
        <f>M9/((M2^2)*O2)</f>
        <v>14.175574641621351</v>
      </c>
      <c r="O13">
        <f>SQRT(O15^2 + O16^2 +O17^2)</f>
        <v>1.0944498267705642</v>
      </c>
    </row>
    <row r="14" spans="1:20" x14ac:dyDescent="0.35">
      <c r="M14" t="s">
        <v>18</v>
      </c>
      <c r="N14" t="s">
        <v>19</v>
      </c>
      <c r="O14" t="s">
        <v>20</v>
      </c>
    </row>
    <row r="15" spans="1:20" x14ac:dyDescent="0.35">
      <c r="M15" t="s">
        <v>10</v>
      </c>
      <c r="N15">
        <f>ABS((M6/(((M2+N2)^2)*O2)) - N12)</f>
        <v>1.0619771207299493</v>
      </c>
      <c r="O15">
        <f>ABS((M9/(((M2+N2)^2)*O2)) - N13)</f>
        <v>1.0694590336134464</v>
      </c>
      <c r="Q15" t="s">
        <v>43</v>
      </c>
      <c r="R15">
        <f>0.04/20*100</f>
        <v>0.2</v>
      </c>
    </row>
    <row r="16" spans="1:20" x14ac:dyDescent="0.35">
      <c r="M16" t="s">
        <v>12</v>
      </c>
      <c r="N16">
        <f>ABS((M6/(((M2)^2)*(O2+P2)) - N12))</f>
        <v>2.4311576200123142E-2</v>
      </c>
      <c r="O16">
        <f>ABS((M9/(((M2)^2)*(O2+P2)) - N13))</f>
        <v>2.4482857757549326E-2</v>
      </c>
      <c r="Q16" t="s">
        <v>44</v>
      </c>
      <c r="R16">
        <f>(0.07/0.4)*100</f>
        <v>17.5</v>
      </c>
    </row>
    <row r="17" spans="1:18" x14ac:dyDescent="0.35">
      <c r="D17" t="s">
        <v>36</v>
      </c>
      <c r="E17" t="s">
        <v>35</v>
      </c>
      <c r="M17" t="s">
        <v>21</v>
      </c>
      <c r="N17">
        <f>ABS(((M6+M7)/(((M2)^2)*O2)) - N12)</f>
        <v>0.22678711714013744</v>
      </c>
      <c r="O17">
        <f>ABS(((M9+M10)/(((M2)^2)*O2)) - N13)</f>
        <v>0.23125394789437692</v>
      </c>
      <c r="Q17" t="s">
        <v>42</v>
      </c>
      <c r="R17" cm="1">
        <f t="array" ref="R17">AVERAGE(J2:J8/H2:H8)*100</f>
        <v>1.2902759412420972</v>
      </c>
    </row>
    <row r="18" spans="1:18" x14ac:dyDescent="0.35">
      <c r="C18" t="s">
        <v>32</v>
      </c>
      <c r="D18">
        <v>5</v>
      </c>
      <c r="E18">
        <v>0.2</v>
      </c>
      <c r="Q18" t="s">
        <v>32</v>
      </c>
      <c r="R18">
        <f>N2/M2*100</f>
        <v>4</v>
      </c>
    </row>
    <row r="19" spans="1:18" x14ac:dyDescent="0.35">
      <c r="C19" t="s">
        <v>34</v>
      </c>
      <c r="D19">
        <f>578*10^-9</f>
        <v>5.7800000000000001E-7</v>
      </c>
      <c r="E19">
        <f>1*10^-9</f>
        <v>1.0000000000000001E-9</v>
      </c>
      <c r="Q19" t="s">
        <v>24</v>
      </c>
      <c r="R19">
        <f>O12/N12*100</f>
        <v>7.7164222716245527</v>
      </c>
    </row>
    <row r="20" spans="1:18" x14ac:dyDescent="0.35">
      <c r="C20" t="s">
        <v>33</v>
      </c>
      <c r="D20">
        <v>2.0340401785714284E-4</v>
      </c>
      <c r="E20">
        <v>3.2770738426749909E-6</v>
      </c>
      <c r="Q20" t="s">
        <v>39</v>
      </c>
      <c r="R20">
        <f>P2/O2*100</f>
        <v>0.17301038062283738</v>
      </c>
    </row>
    <row r="21" spans="1:18" x14ac:dyDescent="0.35">
      <c r="Q21" t="s">
        <v>40</v>
      </c>
      <c r="R21">
        <f>M7/M6*100</f>
        <v>1.6111155901436445</v>
      </c>
    </row>
    <row r="23" spans="1:18" x14ac:dyDescent="0.35">
      <c r="Q23" t="s">
        <v>41</v>
      </c>
      <c r="R23">
        <f>O40/N40*100</f>
        <v>7.8893872357828823</v>
      </c>
    </row>
    <row r="28" spans="1:18" x14ac:dyDescent="0.35">
      <c r="A28" t="s">
        <v>22</v>
      </c>
    </row>
    <row r="29" spans="1:18" x14ac:dyDescent="0.35">
      <c r="A29" t="s">
        <v>37</v>
      </c>
      <c r="B29" t="s">
        <v>23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M29" t="s">
        <v>10</v>
      </c>
      <c r="N29" t="s">
        <v>11</v>
      </c>
      <c r="O29" t="s">
        <v>24</v>
      </c>
      <c r="P29" t="s">
        <v>25</v>
      </c>
    </row>
    <row r="30" spans="1:18" x14ac:dyDescent="0.35">
      <c r="A30" s="1">
        <v>4.25</v>
      </c>
      <c r="B30">
        <v>4.25</v>
      </c>
      <c r="C30">
        <v>0.04</v>
      </c>
      <c r="D30">
        <f>A30/200</f>
        <v>2.1250000000000002E-2</v>
      </c>
      <c r="E30">
        <f>B30/200</f>
        <v>2.1250000000000002E-2</v>
      </c>
      <c r="F30">
        <f>C30/200</f>
        <v>2.0000000000000001E-4</v>
      </c>
      <c r="G30">
        <v>1</v>
      </c>
      <c r="H30">
        <f>D30^2</f>
        <v>4.5156250000000009E-4</v>
      </c>
      <c r="I30">
        <f>E30^2</f>
        <v>4.5156250000000009E-4</v>
      </c>
      <c r="J30">
        <f>H30*ABS(2*F30/D30)</f>
        <v>8.5000000000000016E-6</v>
      </c>
      <c r="K30">
        <f>I30*ABS(2*F30/E30)</f>
        <v>8.5000000000000016E-6</v>
      </c>
      <c r="M30">
        <v>5</v>
      </c>
      <c r="N30">
        <v>0.08</v>
      </c>
      <c r="O30">
        <f>N12</f>
        <v>14.076402619871477</v>
      </c>
      <c r="P30">
        <f>O12</f>
        <v>1.0861946668033047</v>
      </c>
    </row>
    <row r="31" spans="1:18" x14ac:dyDescent="0.35">
      <c r="A31" s="1">
        <v>5.3</v>
      </c>
      <c r="B31" s="1">
        <v>5.25</v>
      </c>
      <c r="C31">
        <v>0.04</v>
      </c>
      <c r="D31">
        <f t="shared" ref="D31:F37" si="4">A31/200</f>
        <v>2.6499999999999999E-2</v>
      </c>
      <c r="E31">
        <f t="shared" si="4"/>
        <v>2.6249999999999999E-2</v>
      </c>
      <c r="F31">
        <f t="shared" si="4"/>
        <v>2.0000000000000001E-4</v>
      </c>
      <c r="G31">
        <v>2</v>
      </c>
      <c r="H31">
        <f t="shared" ref="H31:I37" si="5">D31^2</f>
        <v>7.0224999999999997E-4</v>
      </c>
      <c r="I31">
        <f t="shared" si="5"/>
        <v>6.890624999999999E-4</v>
      </c>
      <c r="J31">
        <f t="shared" ref="J31:J35" si="6">H31*ABS(2*F31/D31)</f>
        <v>1.06E-5</v>
      </c>
      <c r="K31">
        <f t="shared" ref="K31:K37" si="7">I31*ABS(2*F31/E31)</f>
        <v>1.0499999999999999E-5</v>
      </c>
    </row>
    <row r="32" spans="1:18" x14ac:dyDescent="0.35">
      <c r="A32" s="1">
        <v>5.9</v>
      </c>
      <c r="B32" s="1">
        <v>5.9</v>
      </c>
      <c r="C32">
        <v>0.04</v>
      </c>
      <c r="D32">
        <f t="shared" si="4"/>
        <v>2.9500000000000002E-2</v>
      </c>
      <c r="E32">
        <f t="shared" si="4"/>
        <v>2.9500000000000002E-2</v>
      </c>
      <c r="F32">
        <f t="shared" si="4"/>
        <v>2.0000000000000001E-4</v>
      </c>
      <c r="G32">
        <v>3</v>
      </c>
      <c r="H32">
        <f t="shared" si="5"/>
        <v>8.7025000000000015E-4</v>
      </c>
      <c r="I32">
        <f t="shared" si="5"/>
        <v>8.7025000000000015E-4</v>
      </c>
      <c r="J32">
        <f t="shared" si="6"/>
        <v>1.1800000000000002E-5</v>
      </c>
      <c r="K32">
        <f t="shared" si="7"/>
        <v>1.1800000000000002E-5</v>
      </c>
    </row>
    <row r="33" spans="1:16" x14ac:dyDescent="0.35">
      <c r="A33" s="1">
        <v>6.6</v>
      </c>
      <c r="B33" s="1">
        <v>6.6</v>
      </c>
      <c r="C33">
        <v>0.04</v>
      </c>
      <c r="D33">
        <f t="shared" si="4"/>
        <v>3.3000000000000002E-2</v>
      </c>
      <c r="E33">
        <f t="shared" si="4"/>
        <v>3.3000000000000002E-2</v>
      </c>
      <c r="F33">
        <f t="shared" si="4"/>
        <v>2.0000000000000001E-4</v>
      </c>
      <c r="G33">
        <v>4</v>
      </c>
      <c r="H33">
        <f t="shared" si="5"/>
        <v>1.0890000000000001E-3</v>
      </c>
      <c r="I33">
        <f t="shared" si="5"/>
        <v>1.0890000000000001E-3</v>
      </c>
      <c r="J33">
        <f t="shared" si="6"/>
        <v>1.3200000000000001E-5</v>
      </c>
      <c r="K33">
        <f t="shared" si="7"/>
        <v>1.3200000000000001E-5</v>
      </c>
    </row>
    <row r="34" spans="1:16" x14ac:dyDescent="0.35">
      <c r="A34">
        <v>7.25</v>
      </c>
      <c r="B34" s="1">
        <v>7.2</v>
      </c>
      <c r="C34">
        <v>0.04</v>
      </c>
      <c r="D34">
        <f t="shared" si="4"/>
        <v>3.6249999999999998E-2</v>
      </c>
      <c r="E34">
        <f t="shared" si="4"/>
        <v>3.6000000000000004E-2</v>
      </c>
      <c r="F34">
        <f t="shared" si="4"/>
        <v>2.0000000000000001E-4</v>
      </c>
      <c r="G34">
        <v>5</v>
      </c>
      <c r="H34">
        <f t="shared" si="5"/>
        <v>1.3140624999999999E-3</v>
      </c>
      <c r="I34">
        <f t="shared" si="5"/>
        <v>1.2960000000000003E-3</v>
      </c>
      <c r="J34">
        <f t="shared" si="6"/>
        <v>1.45E-5</v>
      </c>
      <c r="K34">
        <f t="shared" si="7"/>
        <v>1.4400000000000001E-5</v>
      </c>
      <c r="L34" t="s">
        <v>26</v>
      </c>
      <c r="M34">
        <f t="array" ref="M34:N35">LINEST(H30:H37,G30:G37,1,1)</f>
        <v>2.1033779761904764E-4</v>
      </c>
      <c r="N34">
        <v>2.5427678571428563E-4</v>
      </c>
    </row>
    <row r="35" spans="1:16" x14ac:dyDescent="0.35">
      <c r="A35" s="1">
        <v>7.8</v>
      </c>
      <c r="B35" s="1">
        <v>7.8</v>
      </c>
      <c r="C35">
        <v>0.04</v>
      </c>
      <c r="D35">
        <f t="shared" si="4"/>
        <v>3.9E-2</v>
      </c>
      <c r="E35">
        <f t="shared" si="4"/>
        <v>3.9E-2</v>
      </c>
      <c r="F35">
        <f t="shared" si="4"/>
        <v>2.0000000000000001E-4</v>
      </c>
      <c r="G35">
        <v>6</v>
      </c>
      <c r="H35">
        <f t="shared" si="5"/>
        <v>1.521E-3</v>
      </c>
      <c r="I35">
        <f t="shared" si="5"/>
        <v>1.521E-3</v>
      </c>
      <c r="J35">
        <f t="shared" si="6"/>
        <v>1.56E-5</v>
      </c>
      <c r="K35">
        <f t="shared" si="7"/>
        <v>1.56E-5</v>
      </c>
      <c r="L35" t="s">
        <v>27</v>
      </c>
      <c r="M35" s="2">
        <v>2.2656074474129052E-6</v>
      </c>
      <c r="N35">
        <v>1.1440756801768269E-5</v>
      </c>
      <c r="P35" s="2"/>
    </row>
    <row r="36" spans="1:16" x14ac:dyDescent="0.35">
      <c r="A36" s="1">
        <v>8.3000000000000007</v>
      </c>
      <c r="B36" s="1">
        <v>8.25</v>
      </c>
      <c r="C36">
        <v>0.04</v>
      </c>
      <c r="D36">
        <f t="shared" si="4"/>
        <v>4.1500000000000002E-2</v>
      </c>
      <c r="E36">
        <f t="shared" si="4"/>
        <v>4.1250000000000002E-2</v>
      </c>
      <c r="F36">
        <f t="shared" si="4"/>
        <v>2.0000000000000001E-4</v>
      </c>
      <c r="G36">
        <v>7</v>
      </c>
      <c r="H36">
        <f t="shared" si="5"/>
        <v>1.7222500000000003E-3</v>
      </c>
      <c r="I36">
        <f t="shared" si="5"/>
        <v>1.7015625000000002E-3</v>
      </c>
      <c r="J36">
        <f>H36*ABS(2*F36/D36)</f>
        <v>1.66E-5</v>
      </c>
      <c r="K36">
        <f t="shared" si="7"/>
        <v>1.6500000000000001E-5</v>
      </c>
      <c r="L36" t="s">
        <v>28</v>
      </c>
      <c r="M36">
        <f t="array" ref="M36:N37">LINEST(I30:I37,G30:G37,1,1)</f>
        <v>2.0784821428571429E-4</v>
      </c>
      <c r="N36">
        <v>2.5624553571428565E-4</v>
      </c>
    </row>
    <row r="37" spans="1:16" x14ac:dyDescent="0.35">
      <c r="A37" s="1">
        <v>8.8000000000000007</v>
      </c>
      <c r="B37" s="1">
        <v>8.75</v>
      </c>
      <c r="C37">
        <v>0.04</v>
      </c>
      <c r="D37">
        <f t="shared" si="4"/>
        <v>4.4000000000000004E-2</v>
      </c>
      <c r="E37">
        <f t="shared" si="4"/>
        <v>4.3749999999999997E-2</v>
      </c>
      <c r="F37">
        <f t="shared" si="4"/>
        <v>2.0000000000000001E-4</v>
      </c>
      <c r="G37">
        <v>8</v>
      </c>
      <c r="H37">
        <f t="shared" si="5"/>
        <v>1.9360000000000004E-3</v>
      </c>
      <c r="I37">
        <f t="shared" si="5"/>
        <v>1.9140624999999997E-3</v>
      </c>
      <c r="J37">
        <f>H37*ABS(2*F37/D37)</f>
        <v>1.7600000000000004E-5</v>
      </c>
      <c r="K37">
        <f t="shared" si="7"/>
        <v>1.7499999999999998E-5</v>
      </c>
      <c r="L37" t="s">
        <v>29</v>
      </c>
      <c r="M37">
        <v>1.9645461136921736E-6</v>
      </c>
      <c r="N37">
        <v>9.9204715884370664E-6</v>
      </c>
    </row>
    <row r="40" spans="1:16" x14ac:dyDescent="0.35">
      <c r="M40" t="s">
        <v>30</v>
      </c>
      <c r="N40">
        <f>M34/((M30^2)*O30)</f>
        <v>5.9770327206218579E-7</v>
      </c>
      <c r="O40">
        <f>SQRT((N43)^2+(N44)^2+(N45)^2)</f>
        <v>4.7155125653930721E-8</v>
      </c>
      <c r="P40" t="s">
        <v>38</v>
      </c>
    </row>
    <row r="41" spans="1:16" x14ac:dyDescent="0.35">
      <c r="M41" t="s">
        <v>31</v>
      </c>
      <c r="N41">
        <f>M36/((M30^2)*O30)</f>
        <v>5.9062878463648843E-7</v>
      </c>
      <c r="O41">
        <f>SQRT(O43^2 + O44^2 +O45^2)</f>
        <v>4.6497003811641913E-8</v>
      </c>
      <c r="P41" t="s">
        <v>38</v>
      </c>
    </row>
    <row r="42" spans="1:16" x14ac:dyDescent="0.35">
      <c r="G42">
        <f t="array" ref="G42:H43">LINEST(H30:H36,G30:G36,1,1)</f>
        <v>2.1047767857142858E-4</v>
      </c>
      <c r="H42">
        <v>2.5385714285714291E-4</v>
      </c>
      <c r="M42" t="s">
        <v>18</v>
      </c>
      <c r="N42" t="s">
        <v>19</v>
      </c>
      <c r="O42" t="s">
        <v>20</v>
      </c>
    </row>
    <row r="43" spans="1:16" x14ac:dyDescent="0.35">
      <c r="G43">
        <v>3.0376995871691669E-6</v>
      </c>
      <c r="H43">
        <v>1.3585005544266611E-5</v>
      </c>
      <c r="M43" t="s">
        <v>10</v>
      </c>
      <c r="N43">
        <f>ABS((M34/(((M30+N30)^2)*O30)) - N40)</f>
        <v>1.867706919953763E-8</v>
      </c>
      <c r="O43">
        <f>ABS((M36/(((M30+N30)^2)*O30)) - N41)</f>
        <v>1.8456005174331432E-8</v>
      </c>
    </row>
    <row r="44" spans="1:16" x14ac:dyDescent="0.35">
      <c r="M44" t="s">
        <v>24</v>
      </c>
      <c r="N44">
        <f>ABS((M34/(((M30)^2)*(O30+P30)) - N40))</f>
        <v>4.2817341526005076E-8</v>
      </c>
      <c r="O44">
        <f>ABS((M36/(((M30)^2)*(O30+P30)) - N41))</f>
        <v>4.2310550349871032E-8</v>
      </c>
    </row>
    <row r="45" spans="1:16" x14ac:dyDescent="0.35">
      <c r="G45">
        <f t="array" ref="G45:H46">LINEST(I30:I36,G30:G36,1,1)</f>
        <v>2.0855803571428571E-4</v>
      </c>
      <c r="H45">
        <v>2.5411607142857137E-4</v>
      </c>
      <c r="M45" t="s">
        <v>21</v>
      </c>
      <c r="N45">
        <f>ABS(((M34+M35)/(((M30)^2)*O30)) - N40)</f>
        <v>6.4380296829945818E-9</v>
      </c>
      <c r="O45">
        <f>ABS(((M36+M37)/(((M30)^2)*O30)) - N41)</f>
        <v>5.582523224843964E-9</v>
      </c>
    </row>
    <row r="46" spans="1:16" x14ac:dyDescent="0.35">
      <c r="G46">
        <v>2.5777289816437369E-6</v>
      </c>
      <c r="H46">
        <v>1.1527954461053406E-5</v>
      </c>
    </row>
  </sheetData>
  <pageMargins left="0.7" right="0.7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7780-9542-42AF-B492-24023C48C223}">
  <dimension ref="A1:C3"/>
  <sheetViews>
    <sheetView workbookViewId="0">
      <selection activeCell="C3" sqref="C3"/>
    </sheetView>
  </sheetViews>
  <sheetFormatPr defaultRowHeight="14.5" x14ac:dyDescent="0.35"/>
  <sheetData>
    <row r="1" spans="1:3" x14ac:dyDescent="0.35">
      <c r="A1" t="s">
        <v>45</v>
      </c>
      <c r="B1" t="s">
        <v>46</v>
      </c>
      <c r="C1" t="s">
        <v>47</v>
      </c>
    </row>
    <row r="2" spans="1:3" x14ac:dyDescent="0.35">
      <c r="A2">
        <v>1</v>
      </c>
      <c r="B2">
        <v>2</v>
      </c>
      <c r="C2">
        <v>3</v>
      </c>
    </row>
    <row r="3" spans="1:3" x14ac:dyDescent="0.35">
      <c r="A3">
        <v>4</v>
      </c>
      <c r="B3">
        <v>5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GILSON, LUCAS B. (Student)</dc:creator>
  <cp:lastModifiedBy>GILSON, LUCAS B. (Student)</cp:lastModifiedBy>
  <dcterms:created xsi:type="dcterms:W3CDTF">2025-02-04T18:40:08Z</dcterms:created>
  <dcterms:modified xsi:type="dcterms:W3CDTF">2025-03-13T19:37:08Z</dcterms:modified>
</cp:coreProperties>
</file>