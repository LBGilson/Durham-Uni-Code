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8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Lucas G\Desktop\Coding\DU_coding\"/>
    </mc:Choice>
  </mc:AlternateContent>
  <xr:revisionPtr revIDLastSave="0" documentId="13_ncr:1_{F67D5795-03C7-4481-84CF-AE1CD9FA6EB3}" xr6:coauthVersionLast="47" xr6:coauthVersionMax="47" xr10:uidLastSave="{00000000-0000-0000-0000-000000000000}"/>
  <bookViews>
    <workbookView xWindow="-110" yWindow="-110" windowWidth="25820" windowHeight="15500" xr2:uid="{4AEACBEB-25BF-4A24-8C10-8709C3AC0745}"/>
  </bookViews>
  <sheets>
    <sheet name="Data" sheetId="3" r:id="rId1"/>
    <sheet name="Time Corrected Decreasing S" sheetId="11" r:id="rId2"/>
    <sheet name="Decreasing S" sheetId="1" r:id="rId3"/>
    <sheet name="Time correction Increasing S" sheetId="10" r:id="rId4"/>
    <sheet name="Increasing S" sheetId="2" r:id="rId5"/>
    <sheet name="Lambda 1" sheetId="4" r:id="rId6"/>
    <sheet name="Lambda 2" sheetId="5" r:id="rId7"/>
    <sheet name="Test 1" sheetId="6" r:id="rId8"/>
    <sheet name="Test 2" sheetId="7" r:id="rId9"/>
    <sheet name="Test 3" sheetId="8" r:id="rId10"/>
    <sheet name="Sheet7" sheetId="9" r:id="rId11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1" l="1"/>
  <c r="G16" i="11"/>
  <c r="G17" i="11"/>
  <c r="G18" i="11"/>
  <c r="G19" i="11"/>
  <c r="G20" i="11"/>
  <c r="G21" i="11"/>
  <c r="G22" i="11"/>
  <c r="G14" i="11"/>
  <c r="N5" i="1"/>
  <c r="P14" i="1" s="1"/>
  <c r="C37" i="10" a="1"/>
  <c r="C37" i="10" s="1"/>
  <c r="E34" i="10"/>
  <c r="C34" i="10" a="1"/>
  <c r="C34" i="10" s="1"/>
  <c r="G15" i="10"/>
  <c r="G16" i="10"/>
  <c r="G17" i="10"/>
  <c r="G18" i="10"/>
  <c r="G19" i="10"/>
  <c r="G20" i="10"/>
  <c r="G21" i="10"/>
  <c r="G22" i="10"/>
  <c r="G14" i="10"/>
  <c r="F14" i="11"/>
  <c r="F15" i="11"/>
  <c r="F16" i="11"/>
  <c r="F17" i="11"/>
  <c r="B16" i="11" s="1"/>
  <c r="F18" i="11"/>
  <c r="B17" i="11" s="1"/>
  <c r="F19" i="11"/>
  <c r="S7" i="11" s="1"/>
  <c r="F20" i="11"/>
  <c r="F21" i="11"/>
  <c r="F22" i="11"/>
  <c r="S8" i="11"/>
  <c r="B20" i="11"/>
  <c r="B21" i="11"/>
  <c r="B14" i="11"/>
  <c r="B15" i="11"/>
  <c r="B18" i="11"/>
  <c r="B19" i="11"/>
  <c r="B13" i="11"/>
  <c r="K10" i="11"/>
  <c r="E31" i="10"/>
  <c r="D3" i="2"/>
  <c r="D4" i="2"/>
  <c r="D5" i="2"/>
  <c r="D6" i="2"/>
  <c r="D7" i="2"/>
  <c r="D8" i="2"/>
  <c r="D9" i="2"/>
  <c r="D10" i="2"/>
  <c r="D2" i="2"/>
  <c r="D5" i="1"/>
  <c r="D6" i="1"/>
  <c r="D7" i="1"/>
  <c r="D8" i="1"/>
  <c r="D9" i="1"/>
  <c r="D10" i="1"/>
  <c r="D4" i="1"/>
  <c r="D3" i="1"/>
  <c r="D2" i="1"/>
  <c r="A25" i="4"/>
  <c r="A16" i="4"/>
  <c r="A17" i="4"/>
  <c r="A18" i="4"/>
  <c r="A19" i="4"/>
  <c r="A20" i="4"/>
  <c r="A21" i="4"/>
  <c r="A22" i="4"/>
  <c r="A23" i="4"/>
  <c r="A24" i="4"/>
  <c r="A15" i="4"/>
  <c r="W7" i="11"/>
  <c r="U7" i="11" a="1"/>
  <c r="U7" i="11" s="1"/>
  <c r="R3" i="11"/>
  <c r="R4" i="11"/>
  <c r="R5" i="11"/>
  <c r="R6" i="11"/>
  <c r="R7" i="11"/>
  <c r="R8" i="11"/>
  <c r="R9" i="11"/>
  <c r="R10" i="11"/>
  <c r="R2" i="11"/>
  <c r="S3" i="11"/>
  <c r="S4" i="11"/>
  <c r="E15" i="11"/>
  <c r="E16" i="11"/>
  <c r="E17" i="11"/>
  <c r="E18" i="11"/>
  <c r="E19" i="11"/>
  <c r="E20" i="11"/>
  <c r="E21" i="11"/>
  <c r="E22" i="11"/>
  <c r="E14" i="11"/>
  <c r="P13" i="1"/>
  <c r="H10" i="11"/>
  <c r="G10" i="11"/>
  <c r="C10" i="11"/>
  <c r="D10" i="11" s="1"/>
  <c r="B10" i="11"/>
  <c r="A10" i="11"/>
  <c r="H9" i="11"/>
  <c r="G9" i="11"/>
  <c r="B9" i="11"/>
  <c r="A9" i="11"/>
  <c r="C9" i="11" s="1"/>
  <c r="D9" i="11" s="1"/>
  <c r="H8" i="11"/>
  <c r="G8" i="11"/>
  <c r="C8" i="11"/>
  <c r="D8" i="11" s="1"/>
  <c r="B8" i="11"/>
  <c r="A8" i="11"/>
  <c r="H7" i="11"/>
  <c r="G7" i="11"/>
  <c r="B7" i="11"/>
  <c r="A7" i="11"/>
  <c r="C7" i="11" s="1"/>
  <c r="D7" i="11" s="1"/>
  <c r="H6" i="11"/>
  <c r="G6" i="11"/>
  <c r="B6" i="11"/>
  <c r="A6" i="11"/>
  <c r="C6" i="11" s="1"/>
  <c r="D6" i="11" s="1"/>
  <c r="H5" i="11"/>
  <c r="G5" i="11"/>
  <c r="B5" i="11"/>
  <c r="A5" i="11"/>
  <c r="C5" i="11" s="1"/>
  <c r="D5" i="11" s="1"/>
  <c r="H4" i="11"/>
  <c r="G4" i="11"/>
  <c r="B4" i="11"/>
  <c r="A4" i="11"/>
  <c r="C4" i="11" s="1"/>
  <c r="D4" i="11" s="1"/>
  <c r="H3" i="11"/>
  <c r="G3" i="11"/>
  <c r="B3" i="11"/>
  <c r="A3" i="11"/>
  <c r="C3" i="11" s="1"/>
  <c r="D3" i="11" s="1"/>
  <c r="H2" i="11"/>
  <c r="G2" i="11"/>
  <c r="C2" i="11"/>
  <c r="D2" i="11" s="1"/>
  <c r="B2" i="11"/>
  <c r="A2" i="11"/>
  <c r="M5" i="11"/>
  <c r="N5" i="11" s="1"/>
  <c r="M4" i="11"/>
  <c r="N4" i="11" s="1"/>
  <c r="M3" i="11"/>
  <c r="N3" i="11" s="1"/>
  <c r="M2" i="11"/>
  <c r="N2" i="11" s="1"/>
  <c r="K10" i="10"/>
  <c r="F14" i="10" s="1"/>
  <c r="P13" i="2"/>
  <c r="E14" i="10"/>
  <c r="F22" i="10"/>
  <c r="S10" i="10" s="1"/>
  <c r="R3" i="10"/>
  <c r="R4" i="10"/>
  <c r="R5" i="10"/>
  <c r="R6" i="10"/>
  <c r="R7" i="10"/>
  <c r="R8" i="10"/>
  <c r="R9" i="10"/>
  <c r="R10" i="10"/>
  <c r="R2" i="10"/>
  <c r="F15" i="10"/>
  <c r="S3" i="10" s="1"/>
  <c r="F16" i="10"/>
  <c r="S4" i="10" s="1"/>
  <c r="F17" i="10"/>
  <c r="S5" i="10" s="1"/>
  <c r="F18" i="10"/>
  <c r="S6" i="10" s="1"/>
  <c r="F19" i="10"/>
  <c r="S7" i="10" s="1"/>
  <c r="F20" i="10"/>
  <c r="S8" i="10" s="1"/>
  <c r="F21" i="10"/>
  <c r="S9" i="10" s="1"/>
  <c r="E22" i="10"/>
  <c r="E15" i="10"/>
  <c r="E16" i="10"/>
  <c r="E17" i="10"/>
  <c r="E18" i="10"/>
  <c r="E19" i="10"/>
  <c r="E20" i="10"/>
  <c r="E21" i="10"/>
  <c r="K2" i="6"/>
  <c r="K2" i="7"/>
  <c r="K2" i="8"/>
  <c r="J2" i="8"/>
  <c r="I4" i="9"/>
  <c r="H4" i="9"/>
  <c r="H3" i="9"/>
  <c r="L4" i="9"/>
  <c r="K4" i="9"/>
  <c r="K3" i="9"/>
  <c r="E2" i="8"/>
  <c r="F122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2" i="8"/>
  <c r="O4" i="9"/>
  <c r="N4" i="9"/>
  <c r="N3" i="9"/>
  <c r="E27" i="8"/>
  <c r="C122" i="8"/>
  <c r="E122" i="8" s="1"/>
  <c r="C121" i="8"/>
  <c r="E121" i="8" s="1"/>
  <c r="C120" i="8"/>
  <c r="E120" i="8" s="1"/>
  <c r="C119" i="8"/>
  <c r="E119" i="8" s="1"/>
  <c r="C118" i="8"/>
  <c r="E118" i="8" s="1"/>
  <c r="C117" i="8"/>
  <c r="E117" i="8" s="1"/>
  <c r="C116" i="8"/>
  <c r="E116" i="8" s="1"/>
  <c r="C115" i="8"/>
  <c r="E115" i="8" s="1"/>
  <c r="C114" i="8"/>
  <c r="E114" i="8" s="1"/>
  <c r="C113" i="8"/>
  <c r="E113" i="8" s="1"/>
  <c r="C112" i="8"/>
  <c r="E112" i="8" s="1"/>
  <c r="C111" i="8"/>
  <c r="E111" i="8" s="1"/>
  <c r="C110" i="8"/>
  <c r="E110" i="8" s="1"/>
  <c r="C109" i="8"/>
  <c r="E109" i="8" s="1"/>
  <c r="C108" i="8"/>
  <c r="E108" i="8" s="1"/>
  <c r="C107" i="8"/>
  <c r="E107" i="8" s="1"/>
  <c r="C106" i="8"/>
  <c r="E106" i="8" s="1"/>
  <c r="C105" i="8"/>
  <c r="E105" i="8" s="1"/>
  <c r="C104" i="8"/>
  <c r="E104" i="8" s="1"/>
  <c r="C103" i="8"/>
  <c r="E103" i="8" s="1"/>
  <c r="C102" i="8"/>
  <c r="E102" i="8" s="1"/>
  <c r="C101" i="8"/>
  <c r="E101" i="8" s="1"/>
  <c r="C100" i="8"/>
  <c r="E100" i="8" s="1"/>
  <c r="C99" i="8"/>
  <c r="E99" i="8" s="1"/>
  <c r="C98" i="8"/>
  <c r="E98" i="8" s="1"/>
  <c r="C97" i="8"/>
  <c r="E97" i="8" s="1"/>
  <c r="C96" i="8"/>
  <c r="E96" i="8" s="1"/>
  <c r="C95" i="8"/>
  <c r="E95" i="8" s="1"/>
  <c r="C94" i="8"/>
  <c r="E94" i="8" s="1"/>
  <c r="C93" i="8"/>
  <c r="E93" i="8" s="1"/>
  <c r="C92" i="8"/>
  <c r="E92" i="8" s="1"/>
  <c r="C91" i="8"/>
  <c r="E91" i="8" s="1"/>
  <c r="C90" i="8"/>
  <c r="E90" i="8" s="1"/>
  <c r="C89" i="8"/>
  <c r="E89" i="8" s="1"/>
  <c r="C88" i="8"/>
  <c r="E88" i="8" s="1"/>
  <c r="C87" i="8"/>
  <c r="E87" i="8" s="1"/>
  <c r="C86" i="8"/>
  <c r="E86" i="8" s="1"/>
  <c r="C85" i="8"/>
  <c r="E85" i="8" s="1"/>
  <c r="C84" i="8"/>
  <c r="E84" i="8" s="1"/>
  <c r="C83" i="8"/>
  <c r="E83" i="8" s="1"/>
  <c r="C82" i="8"/>
  <c r="E82" i="8" s="1"/>
  <c r="C81" i="8"/>
  <c r="E81" i="8" s="1"/>
  <c r="C80" i="8"/>
  <c r="E80" i="8" s="1"/>
  <c r="C79" i="8"/>
  <c r="E79" i="8" s="1"/>
  <c r="C78" i="8"/>
  <c r="E78" i="8" s="1"/>
  <c r="C77" i="8"/>
  <c r="E77" i="8" s="1"/>
  <c r="C76" i="8"/>
  <c r="E76" i="8" s="1"/>
  <c r="C75" i="8"/>
  <c r="E75" i="8" s="1"/>
  <c r="C74" i="8"/>
  <c r="E74" i="8" s="1"/>
  <c r="C73" i="8"/>
  <c r="E73" i="8" s="1"/>
  <c r="C72" i="8"/>
  <c r="E72" i="8" s="1"/>
  <c r="C71" i="8"/>
  <c r="E71" i="8" s="1"/>
  <c r="C70" i="8"/>
  <c r="E70" i="8" s="1"/>
  <c r="C69" i="8"/>
  <c r="E69" i="8" s="1"/>
  <c r="C68" i="8"/>
  <c r="E68" i="8" s="1"/>
  <c r="C67" i="8"/>
  <c r="E67" i="8" s="1"/>
  <c r="C66" i="8"/>
  <c r="E66" i="8" s="1"/>
  <c r="C65" i="8"/>
  <c r="E65" i="8" s="1"/>
  <c r="C64" i="8"/>
  <c r="E64" i="8" s="1"/>
  <c r="C63" i="8"/>
  <c r="E63" i="8" s="1"/>
  <c r="C62" i="8"/>
  <c r="E62" i="8" s="1"/>
  <c r="C61" i="8"/>
  <c r="E61" i="8" s="1"/>
  <c r="C60" i="8"/>
  <c r="E60" i="8" s="1"/>
  <c r="C59" i="8"/>
  <c r="E59" i="8" s="1"/>
  <c r="C58" i="8"/>
  <c r="E58" i="8" s="1"/>
  <c r="C57" i="8"/>
  <c r="E57" i="8" s="1"/>
  <c r="C56" i="8"/>
  <c r="E56" i="8" s="1"/>
  <c r="C55" i="8"/>
  <c r="E55" i="8" s="1"/>
  <c r="C54" i="8"/>
  <c r="E54" i="8" s="1"/>
  <c r="C53" i="8"/>
  <c r="E53" i="8" s="1"/>
  <c r="C52" i="8"/>
  <c r="E52" i="8" s="1"/>
  <c r="C51" i="8"/>
  <c r="E51" i="8" s="1"/>
  <c r="C50" i="8"/>
  <c r="E50" i="8" s="1"/>
  <c r="C49" i="8"/>
  <c r="E49" i="8" s="1"/>
  <c r="C48" i="8"/>
  <c r="E48" i="8" s="1"/>
  <c r="C47" i="8"/>
  <c r="E47" i="8" s="1"/>
  <c r="C46" i="8"/>
  <c r="E46" i="8" s="1"/>
  <c r="C45" i="8"/>
  <c r="E45" i="8" s="1"/>
  <c r="C44" i="8"/>
  <c r="E44" i="8" s="1"/>
  <c r="C43" i="8"/>
  <c r="E43" i="8" s="1"/>
  <c r="C42" i="8"/>
  <c r="E42" i="8" s="1"/>
  <c r="C41" i="8"/>
  <c r="E41" i="8" s="1"/>
  <c r="C40" i="8"/>
  <c r="E40" i="8" s="1"/>
  <c r="C39" i="8"/>
  <c r="E39" i="8" s="1"/>
  <c r="C38" i="8"/>
  <c r="E38" i="8" s="1"/>
  <c r="C37" i="8"/>
  <c r="E37" i="8" s="1"/>
  <c r="C36" i="8"/>
  <c r="E36" i="8" s="1"/>
  <c r="C35" i="8"/>
  <c r="E35" i="8" s="1"/>
  <c r="C34" i="8"/>
  <c r="E34" i="8" s="1"/>
  <c r="C33" i="8"/>
  <c r="E33" i="8" s="1"/>
  <c r="C32" i="8"/>
  <c r="E32" i="8" s="1"/>
  <c r="C31" i="8"/>
  <c r="E31" i="8" s="1"/>
  <c r="C30" i="8"/>
  <c r="E30" i="8" s="1"/>
  <c r="C29" i="8"/>
  <c r="E29" i="8" s="1"/>
  <c r="C28" i="8"/>
  <c r="E28" i="8" s="1"/>
  <c r="C27" i="8"/>
  <c r="C26" i="8"/>
  <c r="E26" i="8" s="1"/>
  <c r="C25" i="8"/>
  <c r="E25" i="8" s="1"/>
  <c r="C24" i="8"/>
  <c r="E24" i="8" s="1"/>
  <c r="C23" i="8"/>
  <c r="E23" i="8" s="1"/>
  <c r="C22" i="8"/>
  <c r="E22" i="8" s="1"/>
  <c r="C21" i="8"/>
  <c r="E21" i="8" s="1"/>
  <c r="C20" i="8"/>
  <c r="E20" i="8" s="1"/>
  <c r="C19" i="8"/>
  <c r="E19" i="8" s="1"/>
  <c r="C18" i="8"/>
  <c r="E18" i="8" s="1"/>
  <c r="C17" i="8"/>
  <c r="E17" i="8" s="1"/>
  <c r="C16" i="8"/>
  <c r="E16" i="8" s="1"/>
  <c r="C15" i="8"/>
  <c r="E15" i="8" s="1"/>
  <c r="C14" i="8"/>
  <c r="E14" i="8" s="1"/>
  <c r="C13" i="8"/>
  <c r="E13" i="8" s="1"/>
  <c r="C12" i="8"/>
  <c r="E12" i="8" s="1"/>
  <c r="C11" i="8"/>
  <c r="E11" i="8" s="1"/>
  <c r="C10" i="8"/>
  <c r="E10" i="8" s="1"/>
  <c r="C9" i="8"/>
  <c r="E9" i="8" s="1"/>
  <c r="C8" i="8"/>
  <c r="E8" i="8" s="1"/>
  <c r="C7" i="8"/>
  <c r="E7" i="8" s="1"/>
  <c r="C6" i="8"/>
  <c r="E6" i="8" s="1"/>
  <c r="C5" i="8"/>
  <c r="E5" i="8" s="1"/>
  <c r="C4" i="8"/>
  <c r="E4" i="8" s="1"/>
  <c r="C3" i="8"/>
  <c r="E3" i="8" s="1"/>
  <c r="C2" i="8"/>
  <c r="C301" i="7"/>
  <c r="D301" i="7" s="1"/>
  <c r="D300" i="7"/>
  <c r="C300" i="7"/>
  <c r="C299" i="7"/>
  <c r="D299" i="7" s="1"/>
  <c r="C298" i="7"/>
  <c r="D298" i="7" s="1"/>
  <c r="C297" i="7"/>
  <c r="D297" i="7" s="1"/>
  <c r="C296" i="7"/>
  <c r="D296" i="7" s="1"/>
  <c r="C295" i="7"/>
  <c r="D295" i="7" s="1"/>
  <c r="D294" i="7"/>
  <c r="C294" i="7"/>
  <c r="C293" i="7"/>
  <c r="D293" i="7" s="1"/>
  <c r="C292" i="7"/>
  <c r="D292" i="7" s="1"/>
  <c r="D291" i="7"/>
  <c r="C291" i="7"/>
  <c r="C290" i="7"/>
  <c r="D290" i="7" s="1"/>
  <c r="C289" i="7"/>
  <c r="D289" i="7" s="1"/>
  <c r="D288" i="7"/>
  <c r="C288" i="7"/>
  <c r="C287" i="7"/>
  <c r="D287" i="7" s="1"/>
  <c r="C286" i="7"/>
  <c r="D286" i="7" s="1"/>
  <c r="D285" i="7"/>
  <c r="C285" i="7"/>
  <c r="C284" i="7"/>
  <c r="D284" i="7" s="1"/>
  <c r="C283" i="7"/>
  <c r="D283" i="7" s="1"/>
  <c r="D282" i="7"/>
  <c r="C282" i="7"/>
  <c r="C281" i="7"/>
  <c r="D281" i="7" s="1"/>
  <c r="C280" i="7"/>
  <c r="D280" i="7" s="1"/>
  <c r="D279" i="7"/>
  <c r="C279" i="7"/>
  <c r="C278" i="7"/>
  <c r="D278" i="7" s="1"/>
  <c r="C277" i="7"/>
  <c r="D277" i="7" s="1"/>
  <c r="D276" i="7"/>
  <c r="C276" i="7"/>
  <c r="C275" i="7"/>
  <c r="D275" i="7" s="1"/>
  <c r="C274" i="7"/>
  <c r="D274" i="7" s="1"/>
  <c r="D273" i="7"/>
  <c r="C273" i="7"/>
  <c r="C272" i="7"/>
  <c r="D272" i="7" s="1"/>
  <c r="C271" i="7"/>
  <c r="D271" i="7" s="1"/>
  <c r="D270" i="7"/>
  <c r="C270" i="7"/>
  <c r="C269" i="7"/>
  <c r="D269" i="7" s="1"/>
  <c r="C268" i="7"/>
  <c r="D268" i="7" s="1"/>
  <c r="D267" i="7"/>
  <c r="C267" i="7"/>
  <c r="C266" i="7"/>
  <c r="D266" i="7" s="1"/>
  <c r="C265" i="7"/>
  <c r="D265" i="7" s="1"/>
  <c r="D264" i="7"/>
  <c r="C264" i="7"/>
  <c r="C263" i="7"/>
  <c r="D263" i="7" s="1"/>
  <c r="C262" i="7"/>
  <c r="D262" i="7" s="1"/>
  <c r="D261" i="7"/>
  <c r="C261" i="7"/>
  <c r="C260" i="7"/>
  <c r="D260" i="7" s="1"/>
  <c r="C259" i="7"/>
  <c r="D259" i="7" s="1"/>
  <c r="D258" i="7"/>
  <c r="C258" i="7"/>
  <c r="C257" i="7"/>
  <c r="D257" i="7" s="1"/>
  <c r="C256" i="7"/>
  <c r="D256" i="7" s="1"/>
  <c r="D255" i="7"/>
  <c r="C255" i="7"/>
  <c r="C254" i="7"/>
  <c r="D254" i="7" s="1"/>
  <c r="C253" i="7"/>
  <c r="D253" i="7" s="1"/>
  <c r="D252" i="7"/>
  <c r="C252" i="7"/>
  <c r="C251" i="7"/>
  <c r="D251" i="7" s="1"/>
  <c r="D250" i="7"/>
  <c r="C250" i="7"/>
  <c r="D249" i="7"/>
  <c r="C249" i="7"/>
  <c r="C248" i="7"/>
  <c r="D248" i="7" s="1"/>
  <c r="C247" i="7"/>
  <c r="D247" i="7" s="1"/>
  <c r="D246" i="7"/>
  <c r="C246" i="7"/>
  <c r="C245" i="7"/>
  <c r="D245" i="7" s="1"/>
  <c r="D244" i="7"/>
  <c r="C244" i="7"/>
  <c r="D243" i="7"/>
  <c r="C243" i="7"/>
  <c r="C242" i="7"/>
  <c r="D242" i="7" s="1"/>
  <c r="C241" i="7"/>
  <c r="D241" i="7" s="1"/>
  <c r="D240" i="7"/>
  <c r="C240" i="7"/>
  <c r="C239" i="7"/>
  <c r="D239" i="7" s="1"/>
  <c r="D238" i="7"/>
  <c r="C238" i="7"/>
  <c r="D237" i="7"/>
  <c r="C237" i="7"/>
  <c r="C236" i="7"/>
  <c r="D236" i="7" s="1"/>
  <c r="C235" i="7"/>
  <c r="D235" i="7" s="1"/>
  <c r="D234" i="7"/>
  <c r="C234" i="7"/>
  <c r="C233" i="7"/>
  <c r="D233" i="7" s="1"/>
  <c r="D232" i="7"/>
  <c r="C232" i="7"/>
  <c r="D231" i="7"/>
  <c r="C231" i="7"/>
  <c r="C230" i="7"/>
  <c r="D230" i="7" s="1"/>
  <c r="C229" i="7"/>
  <c r="D229" i="7" s="1"/>
  <c r="D228" i="7"/>
  <c r="C228" i="7"/>
  <c r="C227" i="7"/>
  <c r="D227" i="7" s="1"/>
  <c r="D226" i="7"/>
  <c r="C226" i="7"/>
  <c r="D225" i="7"/>
  <c r="C225" i="7"/>
  <c r="C224" i="7"/>
  <c r="D224" i="7" s="1"/>
  <c r="C223" i="7"/>
  <c r="D223" i="7" s="1"/>
  <c r="D222" i="7"/>
  <c r="C222" i="7"/>
  <c r="C221" i="7"/>
  <c r="D221" i="7" s="1"/>
  <c r="D220" i="7"/>
  <c r="C220" i="7"/>
  <c r="D219" i="7"/>
  <c r="C219" i="7"/>
  <c r="C218" i="7"/>
  <c r="D218" i="7" s="1"/>
  <c r="C217" i="7"/>
  <c r="D217" i="7" s="1"/>
  <c r="D216" i="7"/>
  <c r="C216" i="7"/>
  <c r="C215" i="7"/>
  <c r="D215" i="7" s="1"/>
  <c r="D214" i="7"/>
  <c r="C214" i="7"/>
  <c r="D213" i="7"/>
  <c r="C213" i="7"/>
  <c r="C212" i="7"/>
  <c r="D212" i="7" s="1"/>
  <c r="C211" i="7"/>
  <c r="D211" i="7" s="1"/>
  <c r="D210" i="7"/>
  <c r="C210" i="7"/>
  <c r="C209" i="7"/>
  <c r="D209" i="7" s="1"/>
  <c r="D208" i="7"/>
  <c r="C208" i="7"/>
  <c r="D207" i="7"/>
  <c r="C207" i="7"/>
  <c r="C206" i="7"/>
  <c r="D206" i="7" s="1"/>
  <c r="C205" i="7"/>
  <c r="D205" i="7" s="1"/>
  <c r="D204" i="7"/>
  <c r="C204" i="7"/>
  <c r="C203" i="7"/>
  <c r="D203" i="7" s="1"/>
  <c r="D202" i="7"/>
  <c r="C202" i="7"/>
  <c r="D201" i="7"/>
  <c r="C201" i="7"/>
  <c r="C200" i="7"/>
  <c r="D200" i="7" s="1"/>
  <c r="C199" i="7"/>
  <c r="D199" i="7" s="1"/>
  <c r="D198" i="7"/>
  <c r="C198" i="7"/>
  <c r="C197" i="7"/>
  <c r="D197" i="7" s="1"/>
  <c r="D196" i="7"/>
  <c r="C196" i="7"/>
  <c r="D195" i="7"/>
  <c r="C195" i="7"/>
  <c r="C194" i="7"/>
  <c r="D194" i="7" s="1"/>
  <c r="D193" i="7"/>
  <c r="C193" i="7"/>
  <c r="D192" i="7"/>
  <c r="C192" i="7"/>
  <c r="C191" i="7"/>
  <c r="D191" i="7" s="1"/>
  <c r="D190" i="7"/>
  <c r="C190" i="7"/>
  <c r="D189" i="7"/>
  <c r="C189" i="7"/>
  <c r="C188" i="7"/>
  <c r="D188" i="7" s="1"/>
  <c r="D187" i="7"/>
  <c r="C187" i="7"/>
  <c r="D186" i="7"/>
  <c r="C186" i="7"/>
  <c r="C185" i="7"/>
  <c r="D185" i="7" s="1"/>
  <c r="D184" i="7"/>
  <c r="C184" i="7"/>
  <c r="D183" i="7"/>
  <c r="C183" i="7"/>
  <c r="C182" i="7"/>
  <c r="D182" i="7" s="1"/>
  <c r="D181" i="7"/>
  <c r="C181" i="7"/>
  <c r="D180" i="7"/>
  <c r="C180" i="7"/>
  <c r="C179" i="7"/>
  <c r="D179" i="7" s="1"/>
  <c r="D178" i="7"/>
  <c r="C178" i="7"/>
  <c r="D177" i="7"/>
  <c r="C177" i="7"/>
  <c r="C176" i="7"/>
  <c r="D176" i="7" s="1"/>
  <c r="D175" i="7"/>
  <c r="C175" i="7"/>
  <c r="D174" i="7"/>
  <c r="C174" i="7"/>
  <c r="C173" i="7"/>
  <c r="D173" i="7" s="1"/>
  <c r="D172" i="7"/>
  <c r="C172" i="7"/>
  <c r="D171" i="7"/>
  <c r="C171" i="7"/>
  <c r="C170" i="7"/>
  <c r="D170" i="7" s="1"/>
  <c r="D169" i="7"/>
  <c r="C169" i="7"/>
  <c r="D168" i="7"/>
  <c r="C168" i="7"/>
  <c r="C167" i="7"/>
  <c r="D167" i="7" s="1"/>
  <c r="D166" i="7"/>
  <c r="C166" i="7"/>
  <c r="D165" i="7"/>
  <c r="C165" i="7"/>
  <c r="C164" i="7"/>
  <c r="D164" i="7" s="1"/>
  <c r="D163" i="7"/>
  <c r="C163" i="7"/>
  <c r="D162" i="7"/>
  <c r="C162" i="7"/>
  <c r="C161" i="7"/>
  <c r="D161" i="7" s="1"/>
  <c r="D160" i="7"/>
  <c r="C160" i="7"/>
  <c r="D159" i="7"/>
  <c r="C159" i="7"/>
  <c r="C158" i="7"/>
  <c r="D158" i="7" s="1"/>
  <c r="D157" i="7"/>
  <c r="C157" i="7"/>
  <c r="D156" i="7"/>
  <c r="C156" i="7"/>
  <c r="C155" i="7"/>
  <c r="D155" i="7" s="1"/>
  <c r="D154" i="7"/>
  <c r="C154" i="7"/>
  <c r="D153" i="7"/>
  <c r="C153" i="7"/>
  <c r="C152" i="7"/>
  <c r="D152" i="7" s="1"/>
  <c r="D151" i="7"/>
  <c r="C151" i="7"/>
  <c r="D150" i="7"/>
  <c r="C150" i="7"/>
  <c r="C149" i="7"/>
  <c r="D149" i="7" s="1"/>
  <c r="D148" i="7"/>
  <c r="C148" i="7"/>
  <c r="D147" i="7"/>
  <c r="C147" i="7"/>
  <c r="C146" i="7"/>
  <c r="D146" i="7" s="1"/>
  <c r="D145" i="7"/>
  <c r="C145" i="7"/>
  <c r="D144" i="7"/>
  <c r="C144" i="7"/>
  <c r="C143" i="7"/>
  <c r="D143" i="7" s="1"/>
  <c r="D142" i="7"/>
  <c r="C142" i="7"/>
  <c r="D141" i="7"/>
  <c r="C141" i="7"/>
  <c r="C140" i="7"/>
  <c r="D140" i="7" s="1"/>
  <c r="D139" i="7"/>
  <c r="C139" i="7"/>
  <c r="D138" i="7"/>
  <c r="C138" i="7"/>
  <c r="C137" i="7"/>
  <c r="D137" i="7" s="1"/>
  <c r="D136" i="7"/>
  <c r="C136" i="7"/>
  <c r="D135" i="7"/>
  <c r="C135" i="7"/>
  <c r="C134" i="7"/>
  <c r="D134" i="7" s="1"/>
  <c r="D133" i="7"/>
  <c r="C133" i="7"/>
  <c r="D132" i="7"/>
  <c r="C132" i="7"/>
  <c r="C131" i="7"/>
  <c r="D131" i="7" s="1"/>
  <c r="D130" i="7"/>
  <c r="C130" i="7"/>
  <c r="D129" i="7"/>
  <c r="C129" i="7"/>
  <c r="C128" i="7"/>
  <c r="D128" i="7" s="1"/>
  <c r="C127" i="7"/>
  <c r="D127" i="7" s="1"/>
  <c r="D126" i="7"/>
  <c r="C126" i="7"/>
  <c r="C125" i="7"/>
  <c r="D125" i="7" s="1"/>
  <c r="D124" i="7"/>
  <c r="C124" i="7"/>
  <c r="D123" i="7"/>
  <c r="C123" i="7"/>
  <c r="C122" i="7"/>
  <c r="D122" i="7" s="1"/>
  <c r="C121" i="7"/>
  <c r="D121" i="7" s="1"/>
  <c r="D120" i="7"/>
  <c r="C120" i="7"/>
  <c r="C119" i="7"/>
  <c r="D119" i="7" s="1"/>
  <c r="C118" i="7"/>
  <c r="D118" i="7" s="1"/>
  <c r="D117" i="7"/>
  <c r="C117" i="7"/>
  <c r="C116" i="7"/>
  <c r="D116" i="7" s="1"/>
  <c r="C115" i="7"/>
  <c r="D115" i="7" s="1"/>
  <c r="D114" i="7"/>
  <c r="C114" i="7"/>
  <c r="C113" i="7"/>
  <c r="D113" i="7" s="1"/>
  <c r="C112" i="7"/>
  <c r="D112" i="7" s="1"/>
  <c r="D111" i="7"/>
  <c r="C111" i="7"/>
  <c r="C110" i="7"/>
  <c r="D110" i="7" s="1"/>
  <c r="D109" i="7"/>
  <c r="C109" i="7"/>
  <c r="D108" i="7"/>
  <c r="C108" i="7"/>
  <c r="C107" i="7"/>
  <c r="D107" i="7" s="1"/>
  <c r="C106" i="7"/>
  <c r="D106" i="7" s="1"/>
  <c r="D105" i="7"/>
  <c r="C105" i="7"/>
  <c r="C104" i="7"/>
  <c r="D104" i="7" s="1"/>
  <c r="D103" i="7"/>
  <c r="C103" i="7"/>
  <c r="D102" i="7"/>
  <c r="C102" i="7"/>
  <c r="C101" i="7"/>
  <c r="D101" i="7" s="1"/>
  <c r="C100" i="7"/>
  <c r="D100" i="7" s="1"/>
  <c r="D99" i="7"/>
  <c r="C99" i="7"/>
  <c r="C98" i="7"/>
  <c r="D98" i="7" s="1"/>
  <c r="C97" i="7"/>
  <c r="D97" i="7" s="1"/>
  <c r="D96" i="7"/>
  <c r="C96" i="7"/>
  <c r="C95" i="7"/>
  <c r="D95" i="7" s="1"/>
  <c r="C94" i="7"/>
  <c r="D94" i="7" s="1"/>
  <c r="D93" i="7"/>
  <c r="C93" i="7"/>
  <c r="C92" i="7"/>
  <c r="D92" i="7" s="1"/>
  <c r="C91" i="7"/>
  <c r="D91" i="7" s="1"/>
  <c r="D90" i="7"/>
  <c r="C90" i="7"/>
  <c r="C89" i="7"/>
  <c r="D89" i="7" s="1"/>
  <c r="C88" i="7"/>
  <c r="D88" i="7" s="1"/>
  <c r="D87" i="7"/>
  <c r="C87" i="7"/>
  <c r="C86" i="7"/>
  <c r="D86" i="7" s="1"/>
  <c r="C85" i="7"/>
  <c r="D85" i="7" s="1"/>
  <c r="D84" i="7"/>
  <c r="C84" i="7"/>
  <c r="C83" i="7"/>
  <c r="D83" i="7" s="1"/>
  <c r="C82" i="7"/>
  <c r="D82" i="7" s="1"/>
  <c r="D81" i="7"/>
  <c r="C81" i="7"/>
  <c r="C80" i="7"/>
  <c r="D80" i="7" s="1"/>
  <c r="C79" i="7"/>
  <c r="D79" i="7" s="1"/>
  <c r="D78" i="7"/>
  <c r="C78" i="7"/>
  <c r="C77" i="7"/>
  <c r="D77" i="7" s="1"/>
  <c r="C76" i="7"/>
  <c r="D76" i="7" s="1"/>
  <c r="D75" i="7"/>
  <c r="C75" i="7"/>
  <c r="C74" i="7"/>
  <c r="D74" i="7" s="1"/>
  <c r="C73" i="7"/>
  <c r="D73" i="7" s="1"/>
  <c r="D72" i="7"/>
  <c r="C72" i="7"/>
  <c r="C71" i="7"/>
  <c r="D71" i="7" s="1"/>
  <c r="C70" i="7"/>
  <c r="D70" i="7" s="1"/>
  <c r="D69" i="7"/>
  <c r="C69" i="7"/>
  <c r="C68" i="7"/>
  <c r="D68" i="7" s="1"/>
  <c r="C67" i="7"/>
  <c r="D67" i="7" s="1"/>
  <c r="D66" i="7"/>
  <c r="C66" i="7"/>
  <c r="C65" i="7"/>
  <c r="D65" i="7" s="1"/>
  <c r="C64" i="7"/>
  <c r="D64" i="7" s="1"/>
  <c r="D63" i="7"/>
  <c r="C63" i="7"/>
  <c r="C62" i="7"/>
  <c r="D62" i="7" s="1"/>
  <c r="C61" i="7"/>
  <c r="D61" i="7" s="1"/>
  <c r="D60" i="7"/>
  <c r="C60" i="7"/>
  <c r="C59" i="7"/>
  <c r="D59" i="7" s="1"/>
  <c r="C58" i="7"/>
  <c r="D58" i="7" s="1"/>
  <c r="D57" i="7"/>
  <c r="C57" i="7"/>
  <c r="C56" i="7"/>
  <c r="D56" i="7" s="1"/>
  <c r="C55" i="7"/>
  <c r="D55" i="7" s="1"/>
  <c r="D54" i="7"/>
  <c r="C54" i="7"/>
  <c r="C53" i="7"/>
  <c r="D53" i="7" s="1"/>
  <c r="C52" i="7"/>
  <c r="D52" i="7" s="1"/>
  <c r="D51" i="7"/>
  <c r="C51" i="7"/>
  <c r="C50" i="7"/>
  <c r="D50" i="7" s="1"/>
  <c r="C49" i="7"/>
  <c r="D49" i="7" s="1"/>
  <c r="D48" i="7"/>
  <c r="C48" i="7"/>
  <c r="C47" i="7"/>
  <c r="D47" i="7" s="1"/>
  <c r="C46" i="7"/>
  <c r="D46" i="7" s="1"/>
  <c r="D45" i="7"/>
  <c r="C45" i="7"/>
  <c r="C44" i="7"/>
  <c r="D44" i="7" s="1"/>
  <c r="C43" i="7"/>
  <c r="D43" i="7" s="1"/>
  <c r="D42" i="7"/>
  <c r="C42" i="7"/>
  <c r="C41" i="7"/>
  <c r="D41" i="7" s="1"/>
  <c r="C40" i="7"/>
  <c r="D40" i="7" s="1"/>
  <c r="D39" i="7"/>
  <c r="C39" i="7"/>
  <c r="C38" i="7"/>
  <c r="D38" i="7" s="1"/>
  <c r="C37" i="7"/>
  <c r="D37" i="7" s="1"/>
  <c r="D36" i="7"/>
  <c r="C36" i="7"/>
  <c r="C35" i="7"/>
  <c r="D35" i="7" s="1"/>
  <c r="C34" i="7"/>
  <c r="D34" i="7" s="1"/>
  <c r="D33" i="7"/>
  <c r="C33" i="7"/>
  <c r="C32" i="7"/>
  <c r="D32" i="7" s="1"/>
  <c r="C31" i="7"/>
  <c r="D31" i="7" s="1"/>
  <c r="D30" i="7"/>
  <c r="C30" i="7"/>
  <c r="C29" i="7"/>
  <c r="D29" i="7" s="1"/>
  <c r="C28" i="7"/>
  <c r="D28" i="7" s="1"/>
  <c r="D27" i="7"/>
  <c r="C27" i="7"/>
  <c r="C26" i="7"/>
  <c r="D26" i="7" s="1"/>
  <c r="C25" i="7"/>
  <c r="D25" i="7" s="1"/>
  <c r="D24" i="7"/>
  <c r="C24" i="7"/>
  <c r="D23" i="7"/>
  <c r="C23" i="7"/>
  <c r="D22" i="7"/>
  <c r="C22" i="7"/>
  <c r="C21" i="7"/>
  <c r="D21" i="7" s="1"/>
  <c r="C20" i="7"/>
  <c r="D20" i="7" s="1"/>
  <c r="D19" i="7"/>
  <c r="C19" i="7"/>
  <c r="C18" i="7"/>
  <c r="D18" i="7" s="1"/>
  <c r="D17" i="7"/>
  <c r="C17" i="7"/>
  <c r="D16" i="7"/>
  <c r="C16" i="7"/>
  <c r="C15" i="7"/>
  <c r="D15" i="7" s="1"/>
  <c r="C14" i="7"/>
  <c r="D14" i="7" s="1"/>
  <c r="D13" i="7"/>
  <c r="C13" i="7"/>
  <c r="C12" i="7"/>
  <c r="D12" i="7" s="1"/>
  <c r="D11" i="7"/>
  <c r="C11" i="7"/>
  <c r="D10" i="7"/>
  <c r="C10" i="7"/>
  <c r="C9" i="7"/>
  <c r="D9" i="7" s="1"/>
  <c r="C8" i="7"/>
  <c r="D8" i="7" s="1"/>
  <c r="D7" i="7"/>
  <c r="C7" i="7"/>
  <c r="C6" i="7"/>
  <c r="D6" i="7" s="1"/>
  <c r="D5" i="7"/>
  <c r="C5" i="7"/>
  <c r="D4" i="7"/>
  <c r="C4" i="7"/>
  <c r="C3" i="7"/>
  <c r="D3" i="7" s="1"/>
  <c r="J2" i="7"/>
  <c r="D2" i="7"/>
  <c r="C2" i="7"/>
  <c r="N23" i="6" a="1"/>
  <c r="N23" i="6" s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2" i="6"/>
  <c r="N2" i="1"/>
  <c r="J2" i="6"/>
  <c r="M2" i="1"/>
  <c r="J32" i="4"/>
  <c r="I32" i="4"/>
  <c r="J31" i="4"/>
  <c r="I31" i="4"/>
  <c r="J30" i="4"/>
  <c r="I30" i="4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E2" i="5"/>
  <c r="I24" i="5" s="1" a="1"/>
  <c r="J25" i="5" s="1"/>
  <c r="L25" i="4"/>
  <c r="L24" i="4"/>
  <c r="I24" i="4" a="1"/>
  <c r="I24" i="4" s="1"/>
  <c r="F3" i="4"/>
  <c r="F4" i="4"/>
  <c r="F5" i="4"/>
  <c r="F6" i="4"/>
  <c r="F7" i="4"/>
  <c r="F8" i="4"/>
  <c r="F9" i="4"/>
  <c r="F10" i="4"/>
  <c r="F11" i="4"/>
  <c r="F12" i="4"/>
  <c r="E3" i="4"/>
  <c r="E4" i="4"/>
  <c r="E5" i="4"/>
  <c r="E6" i="4"/>
  <c r="E7" i="4"/>
  <c r="E8" i="4"/>
  <c r="E9" i="4"/>
  <c r="E10" i="4"/>
  <c r="E11" i="4"/>
  <c r="E12" i="4"/>
  <c r="F2" i="4"/>
  <c r="E2" i="4"/>
  <c r="P14" i="2"/>
  <c r="A2" i="2"/>
  <c r="A3" i="2"/>
  <c r="C3" i="2" s="1"/>
  <c r="A4" i="2"/>
  <c r="A5" i="2"/>
  <c r="A6" i="2"/>
  <c r="A7" i="2"/>
  <c r="C7" i="2" s="1"/>
  <c r="A8" i="2"/>
  <c r="A9" i="2"/>
  <c r="A10" i="2"/>
  <c r="N13" i="1" a="1"/>
  <c r="N13" i="1" s="1"/>
  <c r="H7" i="1"/>
  <c r="H8" i="1"/>
  <c r="H9" i="1"/>
  <c r="H10" i="1"/>
  <c r="C7" i="1"/>
  <c r="C8" i="1"/>
  <c r="C9" i="1"/>
  <c r="C10" i="1"/>
  <c r="H7" i="2"/>
  <c r="H8" i="2"/>
  <c r="H9" i="2"/>
  <c r="H10" i="2"/>
  <c r="C9" i="2"/>
  <c r="C10" i="2"/>
  <c r="C5" i="2"/>
  <c r="C6" i="2"/>
  <c r="C8" i="2"/>
  <c r="G10" i="2"/>
  <c r="B10" i="2"/>
  <c r="G9" i="2"/>
  <c r="B9" i="2"/>
  <c r="G8" i="2"/>
  <c r="B8" i="2"/>
  <c r="G7" i="2"/>
  <c r="B7" i="2"/>
  <c r="H6" i="2"/>
  <c r="G6" i="2"/>
  <c r="B6" i="2"/>
  <c r="M5" i="2"/>
  <c r="N5" i="2" s="1"/>
  <c r="H5" i="2"/>
  <c r="G5" i="2"/>
  <c r="B5" i="2"/>
  <c r="M4" i="2"/>
  <c r="N4" i="2" s="1"/>
  <c r="H4" i="2"/>
  <c r="G4" i="2"/>
  <c r="C4" i="2"/>
  <c r="B4" i="2"/>
  <c r="M3" i="2"/>
  <c r="N3" i="2" s="1"/>
  <c r="H3" i="2"/>
  <c r="G3" i="2"/>
  <c r="B3" i="2"/>
  <c r="M2" i="2"/>
  <c r="N2" i="2" s="1"/>
  <c r="H2" i="2"/>
  <c r="G2" i="2"/>
  <c r="C2" i="2"/>
  <c r="B2" i="2"/>
  <c r="B7" i="1"/>
  <c r="B8" i="1"/>
  <c r="B9" i="1"/>
  <c r="B10" i="1"/>
  <c r="A10" i="1"/>
  <c r="G10" i="1"/>
  <c r="A9" i="1"/>
  <c r="G9" i="1"/>
  <c r="A8" i="1"/>
  <c r="G8" i="1"/>
  <c r="A7" i="1"/>
  <c r="G7" i="1"/>
  <c r="A6" i="1"/>
  <c r="A5" i="1"/>
  <c r="C5" i="1" s="1"/>
  <c r="A4" i="1"/>
  <c r="A3" i="1"/>
  <c r="C3" i="1" s="1"/>
  <c r="A2" i="1"/>
  <c r="H3" i="1"/>
  <c r="H4" i="1"/>
  <c r="H5" i="1"/>
  <c r="H6" i="1"/>
  <c r="G3" i="1"/>
  <c r="G4" i="1"/>
  <c r="G5" i="1"/>
  <c r="G6" i="1"/>
  <c r="C4" i="1"/>
  <c r="C6" i="1"/>
  <c r="B3" i="1"/>
  <c r="B4" i="1"/>
  <c r="B5" i="1"/>
  <c r="B6" i="1"/>
  <c r="M5" i="1"/>
  <c r="M3" i="1"/>
  <c r="N3" i="1" s="1"/>
  <c r="M4" i="1"/>
  <c r="N4" i="1" s="1"/>
  <c r="B2" i="1"/>
  <c r="C2" i="1"/>
  <c r="H2" i="1"/>
  <c r="G2" i="1"/>
  <c r="D35" i="10" l="1"/>
  <c r="C35" i="10"/>
  <c r="D34" i="10"/>
  <c r="S6" i="11"/>
  <c r="S5" i="11"/>
  <c r="S10" i="11"/>
  <c r="S2" i="11"/>
  <c r="S9" i="11"/>
  <c r="V8" i="11"/>
  <c r="U8" i="11"/>
  <c r="V7" i="11"/>
  <c r="U4" i="11" a="1"/>
  <c r="U4" i="11" s="1"/>
  <c r="S2" i="10"/>
  <c r="C31" i="10" a="1"/>
  <c r="C31" i="10" s="1"/>
  <c r="N23" i="8" a="1"/>
  <c r="N23" i="7" a="1"/>
  <c r="O24" i="6"/>
  <c r="N24" i="6"/>
  <c r="O23" i="6"/>
  <c r="I24" i="5"/>
  <c r="L24" i="5" s="1"/>
  <c r="J24" i="5"/>
  <c r="I25" i="5"/>
  <c r="L25" i="5" s="1"/>
  <c r="I25" i="4"/>
  <c r="J25" i="4"/>
  <c r="J24" i="4"/>
  <c r="N13" i="2" a="1"/>
  <c r="N13" i="2" s="1"/>
  <c r="O14" i="1"/>
  <c r="N14" i="1"/>
  <c r="O13" i="1"/>
  <c r="V4" i="11" l="1"/>
  <c r="U5" i="11"/>
  <c r="V5" i="11"/>
  <c r="C31" i="11" a="1"/>
  <c r="C32" i="10"/>
  <c r="D31" i="10"/>
  <c r="D32" i="10"/>
  <c r="O24" i="8"/>
  <c r="N24" i="8"/>
  <c r="O23" i="8"/>
  <c r="N23" i="8"/>
  <c r="O24" i="7"/>
  <c r="N24" i="7"/>
  <c r="O23" i="7"/>
  <c r="N23" i="7"/>
  <c r="N14" i="2"/>
  <c r="O13" i="2"/>
  <c r="O14" i="2"/>
  <c r="D32" i="11" l="1"/>
  <c r="C32" i="11"/>
  <c r="D31" i="11"/>
  <c r="C31" i="11"/>
  <c r="E31" i="11" s="1"/>
  <c r="W4" i="11" l="1"/>
</calcChain>
</file>

<file path=xl/sharedStrings.xml><?xml version="1.0" encoding="utf-8"?>
<sst xmlns="http://schemas.openxmlformats.org/spreadsheetml/2006/main" count="240" uniqueCount="64">
  <si>
    <t>Force (N)</t>
  </si>
  <si>
    <t>α_F (N)</t>
  </si>
  <si>
    <t>F^(-1/2) (N^-1/2)</t>
  </si>
  <si>
    <t>α_F^(-1/2) (N^(-1/2))</t>
  </si>
  <si>
    <t>S (mm)</t>
  </si>
  <si>
    <t>α_S (mm)</t>
  </si>
  <si>
    <t>Distance S (m)</t>
  </si>
  <si>
    <t>α_S (m)</t>
  </si>
  <si>
    <t>Voltage (V)</t>
  </si>
  <si>
    <t>α_V (V)</t>
  </si>
  <si>
    <t>Charge ( C )</t>
  </si>
  <si>
    <t>α_Q ( C )</t>
  </si>
  <si>
    <t>Capacitance (F)</t>
  </si>
  <si>
    <t>Error</t>
  </si>
  <si>
    <t>Used in Test</t>
  </si>
  <si>
    <t>Gradient</t>
  </si>
  <si>
    <t>Intercept</t>
  </si>
  <si>
    <t>ε_0</t>
  </si>
  <si>
    <t>Value</t>
  </si>
  <si>
    <t>Ln(V) (V)</t>
  </si>
  <si>
    <t>α_Ln(V) (V)</t>
  </si>
  <si>
    <t>V_0</t>
  </si>
  <si>
    <t>α_V_0</t>
  </si>
  <si>
    <t>α_t (s)</t>
  </si>
  <si>
    <t>t (s)</t>
  </si>
  <si>
    <t>V (V)</t>
  </si>
  <si>
    <t>λ_1</t>
  </si>
  <si>
    <t>λ_2</t>
  </si>
  <si>
    <t>Average Lambda</t>
  </si>
  <si>
    <t>λ_mean</t>
  </si>
  <si>
    <t>F (N)</t>
  </si>
  <si>
    <t>α_V_0 ( C )</t>
  </si>
  <si>
    <t>V_0 ( C )</t>
  </si>
  <si>
    <t>Q_0 ( C )</t>
  </si>
  <si>
    <t>α_Q_0 ( C )</t>
  </si>
  <si>
    <t>t / s</t>
  </si>
  <si>
    <t>F_A1 / mN</t>
  </si>
  <si>
    <t>Ln(F) (N)</t>
  </si>
  <si>
    <t>int</t>
  </si>
  <si>
    <t>s</t>
  </si>
  <si>
    <t>α_Ln(F)</t>
  </si>
  <si>
    <t>Decreasing S</t>
  </si>
  <si>
    <t>Increasing S</t>
  </si>
  <si>
    <t>Test 1</t>
  </si>
  <si>
    <t xml:space="preserve"> </t>
  </si>
  <si>
    <t>Test 3</t>
  </si>
  <si>
    <t>Test 2</t>
  </si>
  <si>
    <t>d_0</t>
  </si>
  <si>
    <t>Q_0</t>
  </si>
  <si>
    <t>R</t>
  </si>
  <si>
    <t>rho (sec)</t>
  </si>
  <si>
    <t>"f(R)"</t>
  </si>
  <si>
    <t>Residuals</t>
  </si>
  <si>
    <t>resid R</t>
  </si>
  <si>
    <t>f(R)</t>
  </si>
  <si>
    <t>DS</t>
  </si>
  <si>
    <t>Charge</t>
  </si>
  <si>
    <t>Err Charge</t>
  </si>
  <si>
    <t>IS</t>
  </si>
  <si>
    <t>Lambda 1</t>
  </si>
  <si>
    <t>Lambda 2</t>
  </si>
  <si>
    <t>resid</t>
  </si>
  <si>
    <t>fr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</si>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</sst>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1" fontId="0" fillId="0" borderId="1" xfId="0" applyNumberFormat="1" applyBorder="1"/>
    <xf numFmtId="0" fontId="0" fillId="2" borderId="1" xfId="0" applyFill="1" applyBorder="1"/>
    <xf numFmtId="0" fontId="1" fillId="2" borderId="1" xfId="0" applyFont="1" applyFill="1" applyBorder="1"/>
    <xf numFmtId="11" fontId="0" fillId="0" borderId="0" xfId="0" applyNumberFormat="1"/>
    <xf numFmtId="0" fontId="1" fillId="0" borderId="0" xfId="0" applyFont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f(r)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6.4382108486439202E-2"/>
                  <c:y val="-0.1756846019247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'Time Corrected Decreasing S'!$F$14:$F$22</c:f>
              <c:numCache>
                <c:formatCode>General</c:formatCode>
                <c:ptCount val="9"/>
                <c:pt idx="0">
                  <c:v>7.9532019348723573E-2</c:v>
                </c:pt>
                <c:pt idx="1">
                  <c:v>7.6379529421259182E-2</c:v>
                </c:pt>
                <c:pt idx="2">
                  <c:v>7.3191451801498941E-2</c:v>
                </c:pt>
                <c:pt idx="3">
                  <c:v>6.9967498145123458E-2</c:v>
                </c:pt>
                <c:pt idx="4">
                  <c:v>6.6707378052775948E-2</c:v>
                </c:pt>
                <c:pt idx="5">
                  <c:v>6.3410799056387579E-2</c:v>
                </c:pt>
                <c:pt idx="6">
                  <c:v>6.0077466605415832E-2</c:v>
                </c:pt>
                <c:pt idx="7">
                  <c:v>5.6707084052995078E-2</c:v>
                </c:pt>
                <c:pt idx="8">
                  <c:v>5.3299352641998886E-2</c:v>
                </c:pt>
              </c:numCache>
            </c:numRef>
          </c:xVal>
          <c:yVal>
            <c:numRef>
              <c:f>'Time Corrected Decreasing S'!$A$2:$A$10</c:f>
              <c:numCache>
                <c:formatCode>General</c:formatCode>
                <c:ptCount val="9"/>
                <c:pt idx="0">
                  <c:v>1.1000000000000001E-3</c:v>
                </c:pt>
                <c:pt idx="1">
                  <c:v>1.2999999999999999E-3</c:v>
                </c:pt>
                <c:pt idx="2">
                  <c:v>1.4E-3</c:v>
                </c:pt>
                <c:pt idx="3">
                  <c:v>1.5E-3</c:v>
                </c:pt>
                <c:pt idx="4">
                  <c:v>1.6999999999999999E-3</c:v>
                </c:pt>
                <c:pt idx="5">
                  <c:v>2E-3</c:v>
                </c:pt>
                <c:pt idx="6">
                  <c:v>2.5999999999999999E-3</c:v>
                </c:pt>
                <c:pt idx="7">
                  <c:v>3.0999999999999999E-3</c:v>
                </c:pt>
                <c:pt idx="8">
                  <c:v>4.2000000000000006E-3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03-41B1-A403-4BA95890F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122703"/>
        <c:axId val="185125583"/>
      </c:scatterChart>
      <c:valAx>
        <c:axId val="185122703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5583"/>
        <c:crosses val="autoZero"/>
        <c:crossBetween val="midCat"/>
      </c:valAx>
      <c:valAx>
        <c:axId val="18512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22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4.2981189851268593E-2"/>
                  <c:y val="-0.160092592592592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'Time Corrected Decreasing S'!$E$14:$E$22</c:f>
              <c:numCache>
                <c:formatCode>General</c:formatCode>
                <c:ptCount val="9"/>
                <c:pt idx="0">
                  <c:v>8.9499999999999996E-2</c:v>
                </c:pt>
                <c:pt idx="1">
                  <c:v>8.5499999999999993E-2</c:v>
                </c:pt>
                <c:pt idx="2">
                  <c:v>8.1500000000000003E-2</c:v>
                </c:pt>
                <c:pt idx="3">
                  <c:v>7.7499999999999999E-2</c:v>
                </c:pt>
                <c:pt idx="4">
                  <c:v>7.350000000000001E-2</c:v>
                </c:pt>
                <c:pt idx="5">
                  <c:v>6.9500000000000006E-2</c:v>
                </c:pt>
                <c:pt idx="6">
                  <c:v>6.5500000000000003E-2</c:v>
                </c:pt>
                <c:pt idx="7">
                  <c:v>6.1499999999999999E-2</c:v>
                </c:pt>
                <c:pt idx="8">
                  <c:v>5.7500000000000002E-2</c:v>
                </c:pt>
              </c:numCache>
            </c:numRef>
          </c:xVal>
          <c:yVal>
            <c:numRef>
              <c:f>'Time Corrected Decreasing S'!$A$2:$A$10</c:f>
              <c:numCache>
                <c:formatCode>General</c:formatCode>
                <c:ptCount val="9"/>
                <c:pt idx="0">
                  <c:v>1.1000000000000001E-3</c:v>
                </c:pt>
                <c:pt idx="1">
                  <c:v>1.2999999999999999E-3</c:v>
                </c:pt>
                <c:pt idx="2">
                  <c:v>1.4E-3</c:v>
                </c:pt>
                <c:pt idx="3">
                  <c:v>1.5E-3</c:v>
                </c:pt>
                <c:pt idx="4">
                  <c:v>1.6999999999999999E-3</c:v>
                </c:pt>
                <c:pt idx="5">
                  <c:v>2E-3</c:v>
                </c:pt>
                <c:pt idx="6">
                  <c:v>2.5999999999999999E-3</c:v>
                </c:pt>
                <c:pt idx="7">
                  <c:v>3.0999999999999999E-3</c:v>
                </c:pt>
                <c:pt idx="8">
                  <c:v>4.2000000000000006E-3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58-41C6-A55C-5AE380764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57311"/>
        <c:axId val="228751071"/>
      </c:scatterChart>
      <c:valAx>
        <c:axId val="228757311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51071"/>
        <c:crosses val="autoZero"/>
        <c:crossBetween val="midCat"/>
      </c:valAx>
      <c:valAx>
        <c:axId val="22875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573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 f(r)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Corrected Decreasing S'!$F$14:$F$22</c:f>
              <c:numCache>
                <c:formatCode>General</c:formatCode>
                <c:ptCount val="9"/>
                <c:pt idx="0">
                  <c:v>7.9532019348723573E-2</c:v>
                </c:pt>
                <c:pt idx="1">
                  <c:v>7.6379529421259182E-2</c:v>
                </c:pt>
                <c:pt idx="2">
                  <c:v>7.3191451801498941E-2</c:v>
                </c:pt>
                <c:pt idx="3">
                  <c:v>6.9967498145123458E-2</c:v>
                </c:pt>
                <c:pt idx="4">
                  <c:v>6.6707378052775948E-2</c:v>
                </c:pt>
                <c:pt idx="5">
                  <c:v>6.3410799056387579E-2</c:v>
                </c:pt>
                <c:pt idx="6">
                  <c:v>6.0077466605415832E-2</c:v>
                </c:pt>
                <c:pt idx="7">
                  <c:v>5.6707084052995078E-2</c:v>
                </c:pt>
                <c:pt idx="8">
                  <c:v>5.3299352641998886E-2</c:v>
                </c:pt>
              </c:numCache>
            </c:numRef>
          </c:xVal>
          <c:yVal>
            <c:numRef>
              <c:f>'Time Corrected Decreasing S'!$S$2:$S$10</c:f>
              <c:numCache>
                <c:formatCode>General</c:formatCode>
                <c:ptCount val="9"/>
                <c:pt idx="0">
                  <c:v>-0.16426140963774216</c:v>
                </c:pt>
                <c:pt idx="1">
                  <c:v>-0.8814461844435364</c:v>
                </c:pt>
                <c:pt idx="2">
                  <c:v>-0.17221301362136998</c:v>
                </c:pt>
                <c:pt idx="3">
                  <c:v>0.65900487434617716</c:v>
                </c:pt>
                <c:pt idx="4">
                  <c:v>0.84962232343128363</c:v>
                </c:pt>
                <c:pt idx="5">
                  <c:v>0.73333194752950703</c:v>
                </c:pt>
                <c:pt idx="6">
                  <c:v>-0.21933478917229365</c:v>
                </c:pt>
                <c:pt idx="7">
                  <c:v>-5.4051535162617625E-2</c:v>
                </c:pt>
                <c:pt idx="8">
                  <c:v>-0.747752129616849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0-418D-8D61-2DEAC35F58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66911"/>
        <c:axId val="228769791"/>
      </c:scatterChart>
      <c:valAx>
        <c:axId val="228766911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69791"/>
        <c:crosses val="autoZero"/>
        <c:crossBetween val="midCat"/>
      </c:valAx>
      <c:valAx>
        <c:axId val="228769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669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 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Corrected Decreasing S'!$E$14:$E$22</c:f>
              <c:numCache>
                <c:formatCode>General</c:formatCode>
                <c:ptCount val="9"/>
                <c:pt idx="0">
                  <c:v>8.9499999999999996E-2</c:v>
                </c:pt>
                <c:pt idx="1">
                  <c:v>8.5499999999999993E-2</c:v>
                </c:pt>
                <c:pt idx="2">
                  <c:v>8.1500000000000003E-2</c:v>
                </c:pt>
                <c:pt idx="3">
                  <c:v>7.7499999999999999E-2</c:v>
                </c:pt>
                <c:pt idx="4">
                  <c:v>7.350000000000001E-2</c:v>
                </c:pt>
                <c:pt idx="5">
                  <c:v>6.9500000000000006E-2</c:v>
                </c:pt>
                <c:pt idx="6">
                  <c:v>6.5500000000000003E-2</c:v>
                </c:pt>
                <c:pt idx="7">
                  <c:v>6.1499999999999999E-2</c:v>
                </c:pt>
                <c:pt idx="8">
                  <c:v>5.7500000000000002E-2</c:v>
                </c:pt>
              </c:numCache>
            </c:numRef>
          </c:xVal>
          <c:yVal>
            <c:numRef>
              <c:f>'Time Corrected Decreasing S'!$R$2:$R$10</c:f>
              <c:numCache>
                <c:formatCode>General</c:formatCode>
                <c:ptCount val="9"/>
                <c:pt idx="0">
                  <c:v>-0.24745054222363905</c:v>
                </c:pt>
                <c:pt idx="1">
                  <c:v>-0.89865518873853745</c:v>
                </c:pt>
                <c:pt idx="2">
                  <c:v>-0.14262080875756311</c:v>
                </c:pt>
                <c:pt idx="3">
                  <c:v>0.71606397471610705</c:v>
                </c:pt>
                <c:pt idx="4">
                  <c:v>0.91465750363328979</c:v>
                </c:pt>
                <c:pt idx="5">
                  <c:v>0.78669477499789409</c:v>
                </c:pt>
                <c:pt idx="6">
                  <c:v>-0.19745148618159902</c:v>
                </c:pt>
                <c:pt idx="7">
                  <c:v>-8.3614797322510981E-2</c:v>
                </c:pt>
                <c:pt idx="8">
                  <c:v>-0.84889000379081381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F6-4DDB-B618-68D38AD81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774111"/>
        <c:axId val="228772671"/>
      </c:scatterChart>
      <c:valAx>
        <c:axId val="228774111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72671"/>
        <c:crosses val="autoZero"/>
        <c:crossBetween val="midCat"/>
      </c:valAx>
      <c:valAx>
        <c:axId val="228772671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774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6146329495442092E-2"/>
                  <c:y val="0.7919418101403714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'Decreasing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1.0667311465869793</c:v>
                  </c:pt>
                  <c:pt idx="2">
                    <c:v>0.95450443540151575</c:v>
                  </c:pt>
                  <c:pt idx="3">
                    <c:v>0.86066296582387036</c:v>
                  </c:pt>
                  <c:pt idx="4">
                    <c:v>0.7133400736362735</c:v>
                  </c:pt>
                  <c:pt idx="5">
                    <c:v>0.55901699437494745</c:v>
                  </c:pt>
                  <c:pt idx="6">
                    <c:v>0.37714641372727703</c:v>
                  </c:pt>
                  <c:pt idx="7">
                    <c:v>0.2896859710109273</c:v>
                  </c:pt>
                  <c:pt idx="8">
                    <c:v>0.18369446424058558</c:v>
                  </c:pt>
                </c:numCache>
              </c:numRef>
            </c:plus>
            <c:minus>
              <c:numRef>
                <c:f>'Decreasing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1.0667311465869793</c:v>
                  </c:pt>
                  <c:pt idx="2">
                    <c:v>0.95450443540151575</c:v>
                  </c:pt>
                  <c:pt idx="3">
                    <c:v>0.86066296582387036</c:v>
                  </c:pt>
                  <c:pt idx="4">
                    <c:v>0.7133400736362735</c:v>
                  </c:pt>
                  <c:pt idx="5">
                    <c:v>0.55901699437494745</c:v>
                  </c:pt>
                  <c:pt idx="6">
                    <c:v>0.37714641372727703</c:v>
                  </c:pt>
                  <c:pt idx="7">
                    <c:v>0.2896859710109273</c:v>
                  </c:pt>
                  <c:pt idx="8">
                    <c:v>0.18369446424058558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'Decreasing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plus>
            <c:minus>
              <c:numRef>
                <c:f>'Decreasing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'Decreasing S'!$G$2:$G$10</c:f>
              <c:numCache>
                <c:formatCode>General</c:formatCode>
                <c:ptCount val="9"/>
                <c:pt idx="0">
                  <c:v>0.02</c:v>
                </c:pt>
                <c:pt idx="1">
                  <c:v>1.7999999999999999E-2</c:v>
                </c:pt>
                <c:pt idx="2">
                  <c:v>1.6E-2</c:v>
                </c:pt>
                <c:pt idx="3">
                  <c:v>1.4E-2</c:v>
                </c:pt>
                <c:pt idx="4">
                  <c:v>1.2E-2</c:v>
                </c:pt>
                <c:pt idx="5">
                  <c:v>0.01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4.0000000000000001E-3</c:v>
                </c:pt>
              </c:numCache>
            </c:numRef>
          </c:xVal>
          <c:yVal>
            <c:numRef>
              <c:f>'Decreasing S'!$C$2:$C$10</c:f>
              <c:numCache>
                <c:formatCode>General</c:formatCode>
                <c:ptCount val="9"/>
                <c:pt idx="0">
                  <c:v>30.151134457776362</c:v>
                </c:pt>
                <c:pt idx="1">
                  <c:v>27.73500981126146</c:v>
                </c:pt>
                <c:pt idx="2">
                  <c:v>26.726124191242437</c:v>
                </c:pt>
                <c:pt idx="3">
                  <c:v>25.819888974716111</c:v>
                </c:pt>
                <c:pt idx="4">
                  <c:v>24.253562503633297</c:v>
                </c:pt>
                <c:pt idx="5">
                  <c:v>22.360679774997898</c:v>
                </c:pt>
                <c:pt idx="6">
                  <c:v>19.611613513818405</c:v>
                </c:pt>
                <c:pt idx="7">
                  <c:v>17.960530202677489</c:v>
                </c:pt>
                <c:pt idx="8">
                  <c:v>15.43033499620919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E-4883-A61F-8CFFBEAED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4400"/>
        <c:axId val="119035760"/>
      </c:scatterChart>
      <c:valAx>
        <c:axId val="1190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Distance S (m)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5760"/>
        <c:crosses val="autoZero"/>
        <c:crossBetween val="midCat"/>
      </c:valAx>
      <c:valAx>
        <c:axId val="119035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F^(-1/2) (N^-1/2)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residuals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correction Increasing S'!$F$14:$F$22</c:f>
              <c:numCache>
                <c:formatCode>General</c:formatCode>
                <c:ptCount val="9"/>
                <c:pt idx="0">
                  <c:v>0.10071729682704905</c:v>
                </c:pt>
                <c:pt idx="1">
                  <c:v>9.5709544892342471E-2</c:v>
                </c:pt>
                <c:pt idx="2">
                  <c:v>9.0751718083340024E-2</c:v>
                </c:pt>
                <c:pt idx="3">
                  <c:v>8.5843429581290792E-2</c:v>
                </c:pt>
                <c:pt idx="4">
                  <c:v>8.0984295256305502E-2</c:v>
                </c:pt>
                <c:pt idx="5">
                  <c:v>7.6173933649767392E-2</c:v>
                </c:pt>
                <c:pt idx="6">
                  <c:v>7.1411965956854201E-2</c:v>
                </c:pt>
                <c:pt idx="7">
                  <c:v>6.6698016009169733E-2</c:v>
                </c:pt>
                <c:pt idx="8">
                  <c:v>6.2031710257485155E-2</c:v>
                </c:pt>
              </c:numCache>
            </c:numRef>
          </c:xVal>
          <c:yVal>
            <c:numRef>
              <c:f>'Time correction Increasing S'!$S$2:$S$10</c:f>
              <c:numCache>
                <c:formatCode>General</c:formatCode>
                <c:ptCount val="9"/>
                <c:pt idx="0">
                  <c:v>-1.1101252747927788</c:v>
                </c:pt>
                <c:pt idx="1">
                  <c:v>-0.52440255338123265</c:v>
                </c:pt>
                <c:pt idx="2">
                  <c:v>0.19380096793145896</c:v>
                </c:pt>
                <c:pt idx="3">
                  <c:v>1.0171303628423942</c:v>
                </c:pt>
                <c:pt idx="4">
                  <c:v>1.1048724237737169</c:v>
                </c:pt>
                <c:pt idx="5">
                  <c:v>0.84210569493450649</c:v>
                </c:pt>
                <c:pt idx="6">
                  <c:v>9.0541751159047834E-2</c:v>
                </c:pt>
                <c:pt idx="7">
                  <c:v>-0.6016721933854825</c:v>
                </c:pt>
                <c:pt idx="8">
                  <c:v>-1.008928821174738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AC-4B23-BF10-5AC3F822D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0957791"/>
        <c:axId val="1459416335"/>
      </c:scatterChart>
      <c:valAx>
        <c:axId val="145095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416335"/>
        <c:crosses val="autoZero"/>
        <c:crossBetween val="midCat"/>
      </c:valAx>
      <c:valAx>
        <c:axId val="1459416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09577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0820853914999754E-2"/>
                  <c:y val="-3.09821798590965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'Increasing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1.2028130608117205</c:v>
                  </c:pt>
                  <c:pt idx="2">
                    <c:v>1.0667311465869793</c:v>
                  </c:pt>
                  <c:pt idx="3">
                    <c:v>0.95450443540151575</c:v>
                  </c:pt>
                  <c:pt idx="4">
                    <c:v>0.78125</c:v>
                  </c:pt>
                  <c:pt idx="5">
                    <c:v>0.60372561544884684</c:v>
                  </c:pt>
                  <c:pt idx="6">
                    <c:v>0.42525863589985741</c:v>
                  </c:pt>
                  <c:pt idx="7">
                    <c:v>0.2896859710109273</c:v>
                  </c:pt>
                  <c:pt idx="8">
                    <c:v>0.19764235376052375</c:v>
                  </c:pt>
                </c:numCache>
              </c:numRef>
            </c:plus>
            <c:minus>
              <c:numRef>
                <c:f>'Increasing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1.2028130608117205</c:v>
                  </c:pt>
                  <c:pt idx="2">
                    <c:v>1.0667311465869793</c:v>
                  </c:pt>
                  <c:pt idx="3">
                    <c:v>0.95450443540151575</c:v>
                  </c:pt>
                  <c:pt idx="4">
                    <c:v>0.78125</c:v>
                  </c:pt>
                  <c:pt idx="5">
                    <c:v>0.60372561544884684</c:v>
                  </c:pt>
                  <c:pt idx="6">
                    <c:v>0.42525863589985741</c:v>
                  </c:pt>
                  <c:pt idx="7">
                    <c:v>0.2896859710109273</c:v>
                  </c:pt>
                  <c:pt idx="8">
                    <c:v>0.19764235376052375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'Increasing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plus>
            <c:minus>
              <c:numRef>
                <c:f>'Increasing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'Time correction Increasing S'!$F$14:$F$22</c:f>
              <c:numCache>
                <c:formatCode>General</c:formatCode>
                <c:ptCount val="9"/>
                <c:pt idx="0">
                  <c:v>0.10071729682704905</c:v>
                </c:pt>
                <c:pt idx="1">
                  <c:v>9.5709544892342471E-2</c:v>
                </c:pt>
                <c:pt idx="2">
                  <c:v>9.0751718083340024E-2</c:v>
                </c:pt>
                <c:pt idx="3">
                  <c:v>8.5843429581290792E-2</c:v>
                </c:pt>
                <c:pt idx="4">
                  <c:v>8.0984295256305502E-2</c:v>
                </c:pt>
                <c:pt idx="5">
                  <c:v>7.6173933649767392E-2</c:v>
                </c:pt>
                <c:pt idx="6">
                  <c:v>7.1411965956854201E-2</c:v>
                </c:pt>
                <c:pt idx="7">
                  <c:v>6.6698016009169733E-2</c:v>
                </c:pt>
                <c:pt idx="8">
                  <c:v>6.2031710257485155E-2</c:v>
                </c:pt>
              </c:numCache>
            </c:numRef>
          </c:xVal>
          <c:yVal>
            <c:numRef>
              <c:f>'Increasing S'!$C$2:$C$10</c:f>
              <c:numCache>
                <c:formatCode>General</c:formatCode>
                <c:ptCount val="9"/>
                <c:pt idx="0">
                  <c:v>30.151134457776362</c:v>
                </c:pt>
                <c:pt idx="1">
                  <c:v>28.867513459481287</c:v>
                </c:pt>
                <c:pt idx="2">
                  <c:v>27.73500981126146</c:v>
                </c:pt>
                <c:pt idx="3">
                  <c:v>26.726124191242437</c:v>
                </c:pt>
                <c:pt idx="4">
                  <c:v>25</c:v>
                </c:pt>
                <c:pt idx="5">
                  <c:v>22.941573387056177</c:v>
                </c:pt>
                <c:pt idx="6">
                  <c:v>20.412414523193153</c:v>
                </c:pt>
                <c:pt idx="7">
                  <c:v>17.960530202677489</c:v>
                </c:pt>
                <c:pt idx="8">
                  <c:v>15.811388300841898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F9-43E7-9779-16280CE4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4400"/>
        <c:axId val="119035760"/>
      </c:scatterChart>
      <c:valAx>
        <c:axId val="119044400"/>
        <c:scaling>
          <c:orientation val="minMax"/>
          <c:min val="5.000000000000001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Distance S (m)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5760"/>
        <c:crosses val="autoZero"/>
        <c:crossBetween val="midCat"/>
      </c:valAx>
      <c:valAx>
        <c:axId val="119035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F^(-1/2) (N^-1/2)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1474079946306904E-2"/>
          <c:y val="0.16593103448275864"/>
          <c:w val="0.88827885396351403"/>
          <c:h val="0.7231803783147796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5.9771901582098406E-2"/>
                  <c:y val="-0.161926690198207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'Time correction Increasing S'!$E$14:$E$22</c:f>
              <c:numCache>
                <c:formatCode>General</c:formatCode>
                <c:ptCount val="9"/>
                <c:pt idx="0">
                  <c:v>8.9499999999999996E-2</c:v>
                </c:pt>
                <c:pt idx="1">
                  <c:v>8.5499999999999993E-2</c:v>
                </c:pt>
                <c:pt idx="2">
                  <c:v>8.1500000000000003E-2</c:v>
                </c:pt>
                <c:pt idx="3">
                  <c:v>7.7499999999999999E-2</c:v>
                </c:pt>
                <c:pt idx="4">
                  <c:v>7.350000000000001E-2</c:v>
                </c:pt>
                <c:pt idx="5">
                  <c:v>6.9500000000000006E-2</c:v>
                </c:pt>
                <c:pt idx="6">
                  <c:v>6.5500000000000003E-2</c:v>
                </c:pt>
                <c:pt idx="7">
                  <c:v>6.1499999999999999E-2</c:v>
                </c:pt>
                <c:pt idx="8">
                  <c:v>5.7500000000000002E-2</c:v>
                </c:pt>
              </c:numCache>
            </c:numRef>
          </c:xVal>
          <c:yVal>
            <c:numRef>
              <c:f>'Time correction Increasing S'!$D$14:$D$22</c:f>
              <c:numCache>
                <c:formatCode>General</c:formatCode>
                <c:ptCount val="9"/>
                <c:pt idx="0">
                  <c:v>30.151134457776362</c:v>
                </c:pt>
                <c:pt idx="1">
                  <c:v>28.867513459481287</c:v>
                </c:pt>
                <c:pt idx="2">
                  <c:v>27.73500981126146</c:v>
                </c:pt>
                <c:pt idx="3">
                  <c:v>26.726124191242437</c:v>
                </c:pt>
                <c:pt idx="4">
                  <c:v>25</c:v>
                </c:pt>
                <c:pt idx="5">
                  <c:v>22.941573387056177</c:v>
                </c:pt>
                <c:pt idx="6">
                  <c:v>20.412414523193153</c:v>
                </c:pt>
                <c:pt idx="7">
                  <c:v>17.960530202677489</c:v>
                </c:pt>
                <c:pt idx="8">
                  <c:v>15.811388300841898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D7-4FDF-9EE8-1E8A60220A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491551"/>
        <c:axId val="83502111"/>
      </c:scatterChart>
      <c:valAx>
        <c:axId val="83491551"/>
        <c:scaling>
          <c:orientation val="minMax"/>
          <c:min val="5.000000000000001E-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02111"/>
        <c:crosses val="autoZero"/>
        <c:crossBetween val="midCat"/>
      </c:valAx>
      <c:valAx>
        <c:axId val="83502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91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 R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'Time correction Increasing S'!$E$14:$E$22</c:f>
              <c:numCache>
                <c:formatCode>General</c:formatCode>
                <c:ptCount val="9"/>
                <c:pt idx="0">
                  <c:v>8.9499999999999996E-2</c:v>
                </c:pt>
                <c:pt idx="1">
                  <c:v>8.5499999999999993E-2</c:v>
                </c:pt>
                <c:pt idx="2">
                  <c:v>8.1500000000000003E-2</c:v>
                </c:pt>
                <c:pt idx="3">
                  <c:v>7.7499999999999999E-2</c:v>
                </c:pt>
                <c:pt idx="4">
                  <c:v>7.350000000000001E-2</c:v>
                </c:pt>
                <c:pt idx="5">
                  <c:v>6.9500000000000006E-2</c:v>
                </c:pt>
                <c:pt idx="6">
                  <c:v>6.5500000000000003E-2</c:v>
                </c:pt>
                <c:pt idx="7">
                  <c:v>6.1499999999999999E-2</c:v>
                </c:pt>
                <c:pt idx="8">
                  <c:v>5.7500000000000002E-2</c:v>
                </c:pt>
              </c:numCache>
            </c:numRef>
          </c:xVal>
          <c:yVal>
            <c:numRef>
              <c:f>'Time correction Increasing S'!$R$2:$R$10</c:f>
              <c:numCache>
                <c:formatCode>General</c:formatCode>
                <c:ptCount val="9"/>
                <c:pt idx="0">
                  <c:v>-1.0387055422236351</c:v>
                </c:pt>
                <c:pt idx="1">
                  <c:v>-0.51384654051870626</c:v>
                </c:pt>
                <c:pt idx="2">
                  <c:v>0.16212981126146175</c:v>
                </c:pt>
                <c:pt idx="3">
                  <c:v>0.96172419124244257</c:v>
                </c:pt>
                <c:pt idx="4">
                  <c:v>1.044080000000001</c:v>
                </c:pt>
                <c:pt idx="5">
                  <c:v>0.7941333870561742</c:v>
                </c:pt>
                <c:pt idx="6">
                  <c:v>7.345452319315271E-2</c:v>
                </c:pt>
                <c:pt idx="7">
                  <c:v>-0.56994979732250783</c:v>
                </c:pt>
                <c:pt idx="8">
                  <c:v>-0.91061169915810325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3-4E3E-B4CE-093D09AC7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33263"/>
        <c:axId val="201833743"/>
      </c:scatterChart>
      <c:valAx>
        <c:axId val="2018332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3743"/>
        <c:crosses val="autoZero"/>
        <c:crossBetween val="midCat"/>
      </c:valAx>
      <c:valAx>
        <c:axId val="201833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332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'Increasing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1.2028130608117205</c:v>
                  </c:pt>
                  <c:pt idx="2">
                    <c:v>1.0667311465869793</c:v>
                  </c:pt>
                  <c:pt idx="3">
                    <c:v>0.95450443540151575</c:v>
                  </c:pt>
                  <c:pt idx="4">
                    <c:v>0.78125</c:v>
                  </c:pt>
                  <c:pt idx="5">
                    <c:v>0.60372561544884684</c:v>
                  </c:pt>
                  <c:pt idx="6">
                    <c:v>0.42525863589985741</c:v>
                  </c:pt>
                  <c:pt idx="7">
                    <c:v>0.2896859710109273</c:v>
                  </c:pt>
                  <c:pt idx="8">
                    <c:v>0.19764235376052375</c:v>
                  </c:pt>
                </c:numCache>
              </c:numRef>
            </c:plus>
            <c:minus>
              <c:numRef>
                <c:f>'Increasing S'!$D$2:$D$10</c:f>
                <c:numCache>
                  <c:formatCode>General</c:formatCode>
                  <c:ptCount val="9"/>
                  <c:pt idx="0">
                    <c:v>1.3705061117171073</c:v>
                  </c:pt>
                  <c:pt idx="1">
                    <c:v>1.2028130608117205</c:v>
                  </c:pt>
                  <c:pt idx="2">
                    <c:v>1.0667311465869793</c:v>
                  </c:pt>
                  <c:pt idx="3">
                    <c:v>0.95450443540151575</c:v>
                  </c:pt>
                  <c:pt idx="4">
                    <c:v>0.78125</c:v>
                  </c:pt>
                  <c:pt idx="5">
                    <c:v>0.60372561544884684</c:v>
                  </c:pt>
                  <c:pt idx="6">
                    <c:v>0.42525863589985741</c:v>
                  </c:pt>
                  <c:pt idx="7">
                    <c:v>0.2896859710109273</c:v>
                  </c:pt>
                  <c:pt idx="8">
                    <c:v>0.19764235376052375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cust"/>
            <c:noEndCap val="0"/>
            <c:plus>
              <c:numRef>
                <c:f>'Increasing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plus>
            <c:minus>
              <c:numRef>
                <c:f>'Increasing S'!$H$2:$H$10</c:f>
                <c:numCache>
                  <c:formatCode>General</c:formatCode>
                  <c:ptCount val="9"/>
                  <c:pt idx="0">
                    <c:v>1E-4</c:v>
                  </c:pt>
                  <c:pt idx="1">
                    <c:v>1E-4</c:v>
                  </c:pt>
                  <c:pt idx="2">
                    <c:v>1E-4</c:v>
                  </c:pt>
                  <c:pt idx="3">
                    <c:v>1E-4</c:v>
                  </c:pt>
                  <c:pt idx="4">
                    <c:v>1E-4</c:v>
                  </c:pt>
                  <c:pt idx="5">
                    <c:v>1E-4</c:v>
                  </c:pt>
                  <c:pt idx="6">
                    <c:v>1E-4</c:v>
                  </c:pt>
                  <c:pt idx="7">
                    <c:v>1E-4</c:v>
                  </c:pt>
                  <c:pt idx="8">
                    <c:v>1E-4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'Increasing S'!$G$2:$G$10</c:f>
              <c:numCache>
                <c:formatCode>General</c:formatCode>
                <c:ptCount val="9"/>
                <c:pt idx="0">
                  <c:v>0.02</c:v>
                </c:pt>
                <c:pt idx="1">
                  <c:v>1.7999999999999999E-2</c:v>
                </c:pt>
                <c:pt idx="2">
                  <c:v>1.6E-2</c:v>
                </c:pt>
                <c:pt idx="3">
                  <c:v>1.4E-2</c:v>
                </c:pt>
                <c:pt idx="4">
                  <c:v>1.2E-2</c:v>
                </c:pt>
                <c:pt idx="5">
                  <c:v>0.01</c:v>
                </c:pt>
                <c:pt idx="6">
                  <c:v>8.0000000000000002E-3</c:v>
                </c:pt>
                <c:pt idx="7">
                  <c:v>6.0000000000000001E-3</c:v>
                </c:pt>
                <c:pt idx="8">
                  <c:v>4.0000000000000001E-3</c:v>
                </c:pt>
              </c:numCache>
            </c:numRef>
          </c:xVal>
          <c:yVal>
            <c:numRef>
              <c:f>'Increasing S'!$C$2:$C$10</c:f>
              <c:numCache>
                <c:formatCode>General</c:formatCode>
                <c:ptCount val="9"/>
                <c:pt idx="0">
                  <c:v>30.151134457776362</c:v>
                </c:pt>
                <c:pt idx="1">
                  <c:v>28.867513459481287</c:v>
                </c:pt>
                <c:pt idx="2">
                  <c:v>27.73500981126146</c:v>
                </c:pt>
                <c:pt idx="3">
                  <c:v>26.726124191242437</c:v>
                </c:pt>
                <c:pt idx="4">
                  <c:v>25</c:v>
                </c:pt>
                <c:pt idx="5">
                  <c:v>22.941573387056177</c:v>
                </c:pt>
                <c:pt idx="6">
                  <c:v>20.412414523193153</c:v>
                </c:pt>
                <c:pt idx="7">
                  <c:v>17.960530202677489</c:v>
                </c:pt>
                <c:pt idx="8">
                  <c:v>15.811388300841898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1-4244-8FDC-E1A5A4DE9E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44400"/>
        <c:axId val="119035760"/>
      </c:scatterChart>
      <c:valAx>
        <c:axId val="119044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Distance S (m)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35760"/>
        <c:crosses val="autoZero"/>
        <c:crossBetween val="midCat"/>
      </c:valAx>
      <c:valAx>
        <c:axId val="1190357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F^(-1/2) (N^-1/2)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044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9.019367801132297E-2"/>
                  <c:y val="-0.37287584085101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'Lambda 1'!$F$2:$F$12</c:f>
                <c:numCache>
                  <c:formatCode>General</c:formatCode>
                  <c:ptCount val="11"/>
                  <c:pt idx="0">
                    <c:v>3.4843205574912892E-3</c:v>
                  </c:pt>
                  <c:pt idx="1">
                    <c:v>3.663003663003663E-3</c:v>
                  </c:pt>
                  <c:pt idx="2">
                    <c:v>3.787878787878788E-3</c:v>
                  </c:pt>
                  <c:pt idx="3">
                    <c:v>3.90625E-3</c:v>
                  </c:pt>
                  <c:pt idx="4">
                    <c:v>4.081632653061224E-3</c:v>
                  </c:pt>
                  <c:pt idx="5">
                    <c:v>4.1666666666666666E-3</c:v>
                  </c:pt>
                  <c:pt idx="6">
                    <c:v>4.2918454935622317E-3</c:v>
                  </c:pt>
                  <c:pt idx="7">
                    <c:v>4.4052863436123352E-3</c:v>
                  </c:pt>
                  <c:pt idx="8">
                    <c:v>4.5454545454545452E-3</c:v>
                  </c:pt>
                  <c:pt idx="9">
                    <c:v>4.7169811320754715E-3</c:v>
                  </c:pt>
                  <c:pt idx="10">
                    <c:v>4.8309178743961359E-3</c:v>
                  </c:pt>
                </c:numCache>
              </c:numRef>
            </c:plus>
            <c:minus>
              <c:numRef>
                <c:f>'Lambda 1'!$F$2:$F$12</c:f>
                <c:numCache>
                  <c:formatCode>General</c:formatCode>
                  <c:ptCount val="11"/>
                  <c:pt idx="0">
                    <c:v>3.4843205574912892E-3</c:v>
                  </c:pt>
                  <c:pt idx="1">
                    <c:v>3.663003663003663E-3</c:v>
                  </c:pt>
                  <c:pt idx="2">
                    <c:v>3.787878787878788E-3</c:v>
                  </c:pt>
                  <c:pt idx="3">
                    <c:v>3.90625E-3</c:v>
                  </c:pt>
                  <c:pt idx="4">
                    <c:v>4.081632653061224E-3</c:v>
                  </c:pt>
                  <c:pt idx="5">
                    <c:v>4.1666666666666666E-3</c:v>
                  </c:pt>
                  <c:pt idx="6">
                    <c:v>4.2918454935622317E-3</c:v>
                  </c:pt>
                  <c:pt idx="7">
                    <c:v>4.4052863436123352E-3</c:v>
                  </c:pt>
                  <c:pt idx="8">
                    <c:v>4.5454545454545452E-3</c:v>
                  </c:pt>
                  <c:pt idx="9">
                    <c:v>4.7169811320754715E-3</c:v>
                  </c:pt>
                  <c:pt idx="10">
                    <c:v>4.8309178743961359E-3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'Lambda 1'!$A$2:$A$12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'Lambda 1'!$E$2:$E$12</c:f>
              <c:numCache>
                <c:formatCode>General</c:formatCode>
                <c:ptCount val="11"/>
                <c:pt idx="0">
                  <c:v>1.0543120297715298</c:v>
                </c:pt>
                <c:pt idx="1">
                  <c:v>1.0043016091968684</c:v>
                </c:pt>
                <c:pt idx="2">
                  <c:v>0.97077891715822484</c:v>
                </c:pt>
                <c:pt idx="3">
                  <c:v>0.94000725849147115</c:v>
                </c:pt>
                <c:pt idx="4">
                  <c:v>0.89608802455663572</c:v>
                </c:pt>
                <c:pt idx="5">
                  <c:v>0.87546873735389985</c:v>
                </c:pt>
                <c:pt idx="6">
                  <c:v>0.84586826757760925</c:v>
                </c:pt>
                <c:pt idx="7">
                  <c:v>0.81977983149331135</c:v>
                </c:pt>
                <c:pt idx="8">
                  <c:v>0.78845736036427028</c:v>
                </c:pt>
                <c:pt idx="9">
                  <c:v>0.75141608868392118</c:v>
                </c:pt>
                <c:pt idx="10">
                  <c:v>0.72754860727727766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D1-4B6A-B4F8-E10669DAA9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1327"/>
        <c:axId val="741618447"/>
      </c:scatterChart>
      <c:valAx>
        <c:axId val="741621327"/>
        <c:scaling>
          <c:orientation val="minMax"/>
          <c:min val="-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18447"/>
        <c:crosses val="autoZero"/>
        <c:crossBetween val="midCat"/>
      </c:valAx>
      <c:valAx>
        <c:axId val="741618447"/>
        <c:scaling>
          <c:orientation val="minMax"/>
          <c:min val="0.70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resid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'Lambda 1'!$A$2:$A$12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'Lambda 1'!$A$15:$A$25</c:f>
              <c:numCache>
                <c:formatCode>General</c:formatCode>
                <c:ptCount val="11"/>
                <c:pt idx="0">
                  <c:v>1.6512029771529768E-2</c:v>
                </c:pt>
                <c:pt idx="1">
                  <c:v>-4.98390803131743E-4</c:v>
                </c:pt>
                <c:pt idx="2">
                  <c:v>-1.0210828417751561E-3</c:v>
                </c:pt>
                <c:pt idx="3">
                  <c:v>1.2072584914710749E-3</c:v>
                </c:pt>
                <c:pt idx="4">
                  <c:v>-9.7119754433643291E-3</c:v>
                </c:pt>
                <c:pt idx="5">
                  <c:v>2.6687373538998305E-3</c:v>
                </c:pt>
                <c:pt idx="6">
                  <c:v>6.0682675776091433E-3</c:v>
                </c:pt>
                <c:pt idx="7">
                  <c:v>1.2979831493311278E-2</c:v>
                </c:pt>
                <c:pt idx="8">
                  <c:v>1.4657360364270233E-2</c:v>
                </c:pt>
                <c:pt idx="9">
                  <c:v>1.0616088683921165E-2</c:v>
                </c:pt>
                <c:pt idx="10">
                  <c:v>1.9748607277277674E-2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9-42A0-9FF9-0426FE825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07519"/>
        <c:axId val="121507999"/>
      </c:scatterChart>
      <c:valAx>
        <c:axId val="121507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7999"/>
        <c:crosses val="autoZero"/>
        <c:crossBetween val="midCat"/>
      </c:valAx>
      <c:valAx>
        <c:axId val="12150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7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errBars>
            <c:errDir val="y"/>
            <c:errBarType val="both"/>
            <c:errValType val="cust"/>
            <c:noEndCap val="0"/>
            <c:plus>
              <c:numRef>
                <c:f>'Lambda 2'!$F$2:$F$12</c:f>
                <c:numCache>
                  <c:formatCode>General</c:formatCode>
                  <c:ptCount val="11"/>
                  <c:pt idx="0">
                    <c:v>3.3783783783783786E-3</c:v>
                  </c:pt>
                  <c:pt idx="1">
                    <c:v>3.4482758620689659E-3</c:v>
                  </c:pt>
                  <c:pt idx="2">
                    <c:v>3.5335689045936395E-3</c:v>
                  </c:pt>
                  <c:pt idx="3">
                    <c:v>3.6363636363636364E-3</c:v>
                  </c:pt>
                  <c:pt idx="4">
                    <c:v>3.7313432835820895E-3</c:v>
                  </c:pt>
                  <c:pt idx="5">
                    <c:v>3.8167938931297708E-3</c:v>
                  </c:pt>
                  <c:pt idx="6">
                    <c:v>3.9525691699604749E-3</c:v>
                  </c:pt>
                  <c:pt idx="7">
                    <c:v>4.0160642570281121E-3</c:v>
                  </c:pt>
                  <c:pt idx="8">
                    <c:v>4.0650406504065045E-3</c:v>
                  </c:pt>
                  <c:pt idx="9">
                    <c:v>4.1841004184100415E-3</c:v>
                  </c:pt>
                  <c:pt idx="10">
                    <c:v>4.2918454935622317E-3</c:v>
                  </c:pt>
                </c:numCache>
              </c:numRef>
            </c:plus>
            <c:minus>
              <c:numRef>
                <c:f>'Lambda 2'!$F$2:$F$12</c:f>
                <c:numCache>
                  <c:formatCode>General</c:formatCode>
                  <c:ptCount val="11"/>
                  <c:pt idx="0">
                    <c:v>3.3783783783783786E-3</c:v>
                  </c:pt>
                  <c:pt idx="1">
                    <c:v>3.4482758620689659E-3</c:v>
                  </c:pt>
                  <c:pt idx="2">
                    <c:v>3.5335689045936395E-3</c:v>
                  </c:pt>
                  <c:pt idx="3">
                    <c:v>3.6363636363636364E-3</c:v>
                  </c:pt>
                  <c:pt idx="4">
                    <c:v>3.7313432835820895E-3</c:v>
                  </c:pt>
                  <c:pt idx="5">
                    <c:v>3.8167938931297708E-3</c:v>
                  </c:pt>
                  <c:pt idx="6">
                    <c:v>3.9525691699604749E-3</c:v>
                  </c:pt>
                  <c:pt idx="7">
                    <c:v>4.0160642570281121E-3</c:v>
                  </c:pt>
                  <c:pt idx="8">
                    <c:v>4.0650406504065045E-3</c:v>
                  </c:pt>
                  <c:pt idx="9">
                    <c:v>4.1841004184100415E-3</c:v>
                  </c:pt>
                  <c:pt idx="10">
                    <c:v>4.2918454935622317E-3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'Lambda 2'!$A$2:$A$12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'Lambda 2'!$E$2:$E$12</c:f>
              <c:numCache>
                <c:formatCode>General</c:formatCode>
                <c:ptCount val="11"/>
                <c:pt idx="0">
                  <c:v>1.085189268335969</c:v>
                </c:pt>
                <c:pt idx="1">
                  <c:v>1.0647107369924282</c:v>
                </c:pt>
                <c:pt idx="2">
                  <c:v>1.0402767116551463</c:v>
                </c:pt>
                <c:pt idx="3">
                  <c:v>1.0116009116784799</c:v>
                </c:pt>
                <c:pt idx="4">
                  <c:v>0.98581679452276538</c:v>
                </c:pt>
                <c:pt idx="5">
                  <c:v>0.96317431777300555</c:v>
                </c:pt>
                <c:pt idx="6">
                  <c:v>0.92821930273942876</c:v>
                </c:pt>
                <c:pt idx="7">
                  <c:v>0.91228271047661635</c:v>
                </c:pt>
                <c:pt idx="8">
                  <c:v>0.90016134994427144</c:v>
                </c:pt>
                <c:pt idx="9">
                  <c:v>0.87129336594341933</c:v>
                </c:pt>
                <c:pt idx="10">
                  <c:v>0.84586826757760925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42-4B95-9FDD-9694E7E8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1621327"/>
        <c:axId val="741618447"/>
      </c:scatterChart>
      <c:valAx>
        <c:axId val="74162132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18447"/>
        <c:crosses val="autoZero"/>
        <c:crossBetween val="midCat"/>
      </c:valAx>
      <c:valAx>
        <c:axId val="741618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6213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420800524934383E-2"/>
                  <c:y val="-0.32298301254009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1'!$B$2:$B$301</c:f>
              <c:numCache>
                <c:formatCode>General</c:formatCode>
                <c:ptCount val="3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3.9</c:v>
                </c:pt>
                <c:pt idx="6">
                  <c:v>3.9</c:v>
                </c:pt>
                <c:pt idx="7">
                  <c:v>4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4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4</c:v>
                </c:pt>
                <c:pt idx="17">
                  <c:v>3.9</c:v>
                </c:pt>
                <c:pt idx="18">
                  <c:v>3.9</c:v>
                </c:pt>
                <c:pt idx="19">
                  <c:v>3.9</c:v>
                </c:pt>
                <c:pt idx="20">
                  <c:v>3.9</c:v>
                </c:pt>
                <c:pt idx="21">
                  <c:v>3.9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3.9</c:v>
                </c:pt>
                <c:pt idx="26">
                  <c:v>3.8</c:v>
                </c:pt>
                <c:pt idx="27">
                  <c:v>3.8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3.9</c:v>
                </c:pt>
                <c:pt idx="35">
                  <c:v>3.9</c:v>
                </c:pt>
                <c:pt idx="36">
                  <c:v>3.8</c:v>
                </c:pt>
                <c:pt idx="37">
                  <c:v>3.8</c:v>
                </c:pt>
                <c:pt idx="38">
                  <c:v>3.8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3.8</c:v>
                </c:pt>
                <c:pt idx="45">
                  <c:v>3.7</c:v>
                </c:pt>
                <c:pt idx="46">
                  <c:v>3.8</c:v>
                </c:pt>
                <c:pt idx="47">
                  <c:v>3.7</c:v>
                </c:pt>
                <c:pt idx="48">
                  <c:v>3.7</c:v>
                </c:pt>
                <c:pt idx="49">
                  <c:v>3.8</c:v>
                </c:pt>
                <c:pt idx="50">
                  <c:v>3.7</c:v>
                </c:pt>
                <c:pt idx="51">
                  <c:v>3.7</c:v>
                </c:pt>
                <c:pt idx="52">
                  <c:v>3.7</c:v>
                </c:pt>
                <c:pt idx="53">
                  <c:v>3.7</c:v>
                </c:pt>
                <c:pt idx="54">
                  <c:v>3.7</c:v>
                </c:pt>
                <c:pt idx="55">
                  <c:v>3.7</c:v>
                </c:pt>
                <c:pt idx="56">
                  <c:v>3.7</c:v>
                </c:pt>
                <c:pt idx="57">
                  <c:v>3.7</c:v>
                </c:pt>
                <c:pt idx="58">
                  <c:v>3.7</c:v>
                </c:pt>
                <c:pt idx="59">
                  <c:v>3.7</c:v>
                </c:pt>
                <c:pt idx="60">
                  <c:v>3.7</c:v>
                </c:pt>
                <c:pt idx="61">
                  <c:v>3.6</c:v>
                </c:pt>
                <c:pt idx="62">
                  <c:v>3.7</c:v>
                </c:pt>
                <c:pt idx="63">
                  <c:v>3.7</c:v>
                </c:pt>
                <c:pt idx="64">
                  <c:v>3.7</c:v>
                </c:pt>
                <c:pt idx="65">
                  <c:v>3.6</c:v>
                </c:pt>
                <c:pt idx="66">
                  <c:v>3.7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3.6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</c:v>
                </c:pt>
                <c:pt idx="81">
                  <c:v>3.5</c:v>
                </c:pt>
                <c:pt idx="82">
                  <c:v>3.6</c:v>
                </c:pt>
                <c:pt idx="83">
                  <c:v>3.6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3.6</c:v>
                </c:pt>
                <c:pt idx="88">
                  <c:v>3.5</c:v>
                </c:pt>
                <c:pt idx="89">
                  <c:v>3.5</c:v>
                </c:pt>
                <c:pt idx="90">
                  <c:v>3.5</c:v>
                </c:pt>
                <c:pt idx="91">
                  <c:v>3.5</c:v>
                </c:pt>
                <c:pt idx="92">
                  <c:v>3.5</c:v>
                </c:pt>
                <c:pt idx="93">
                  <c:v>3.5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3.5</c:v>
                </c:pt>
                <c:pt idx="98">
                  <c:v>3.6</c:v>
                </c:pt>
                <c:pt idx="99">
                  <c:v>3.6</c:v>
                </c:pt>
                <c:pt idx="100">
                  <c:v>3.5</c:v>
                </c:pt>
                <c:pt idx="101">
                  <c:v>3.5</c:v>
                </c:pt>
                <c:pt idx="102">
                  <c:v>3.6</c:v>
                </c:pt>
                <c:pt idx="103">
                  <c:v>3.6</c:v>
                </c:pt>
                <c:pt idx="104">
                  <c:v>3.5</c:v>
                </c:pt>
                <c:pt idx="105">
                  <c:v>3.5</c:v>
                </c:pt>
                <c:pt idx="106">
                  <c:v>3.4</c:v>
                </c:pt>
                <c:pt idx="107">
                  <c:v>3.5</c:v>
                </c:pt>
                <c:pt idx="108">
                  <c:v>3.5</c:v>
                </c:pt>
                <c:pt idx="109">
                  <c:v>3.5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3.5</c:v>
                </c:pt>
                <c:pt idx="114">
                  <c:v>3.4</c:v>
                </c:pt>
                <c:pt idx="115">
                  <c:v>3.5</c:v>
                </c:pt>
                <c:pt idx="116">
                  <c:v>3.4</c:v>
                </c:pt>
                <c:pt idx="117">
                  <c:v>3.4</c:v>
                </c:pt>
                <c:pt idx="118">
                  <c:v>3.5</c:v>
                </c:pt>
                <c:pt idx="119">
                  <c:v>3.3</c:v>
                </c:pt>
                <c:pt idx="120">
                  <c:v>3.4</c:v>
                </c:pt>
                <c:pt idx="121">
                  <c:v>3.3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3.3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3.5</c:v>
                </c:pt>
                <c:pt idx="134">
                  <c:v>3.4</c:v>
                </c:pt>
                <c:pt idx="135">
                  <c:v>3.4</c:v>
                </c:pt>
                <c:pt idx="136">
                  <c:v>3.5</c:v>
                </c:pt>
                <c:pt idx="137">
                  <c:v>3.4</c:v>
                </c:pt>
                <c:pt idx="138">
                  <c:v>3.4</c:v>
                </c:pt>
                <c:pt idx="139">
                  <c:v>3.3</c:v>
                </c:pt>
                <c:pt idx="140">
                  <c:v>3.3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3.3</c:v>
                </c:pt>
                <c:pt idx="157">
                  <c:v>3.3</c:v>
                </c:pt>
                <c:pt idx="158">
                  <c:v>3.3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3.3</c:v>
                </c:pt>
                <c:pt idx="163">
                  <c:v>3.3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3.3</c:v>
                </c:pt>
                <c:pt idx="168">
                  <c:v>3.4</c:v>
                </c:pt>
                <c:pt idx="169">
                  <c:v>3.3</c:v>
                </c:pt>
                <c:pt idx="170">
                  <c:v>3.4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3.3</c:v>
                </c:pt>
                <c:pt idx="175">
                  <c:v>3.2</c:v>
                </c:pt>
                <c:pt idx="176">
                  <c:v>3.3</c:v>
                </c:pt>
                <c:pt idx="177">
                  <c:v>3.3</c:v>
                </c:pt>
                <c:pt idx="178">
                  <c:v>3.4</c:v>
                </c:pt>
                <c:pt idx="179">
                  <c:v>3.3</c:v>
                </c:pt>
                <c:pt idx="180">
                  <c:v>3.3</c:v>
                </c:pt>
                <c:pt idx="181">
                  <c:v>3.4</c:v>
                </c:pt>
                <c:pt idx="182">
                  <c:v>3.3</c:v>
                </c:pt>
                <c:pt idx="183">
                  <c:v>3.3</c:v>
                </c:pt>
                <c:pt idx="184">
                  <c:v>3.3</c:v>
                </c:pt>
                <c:pt idx="185">
                  <c:v>3.2</c:v>
                </c:pt>
                <c:pt idx="186">
                  <c:v>3.2</c:v>
                </c:pt>
                <c:pt idx="187">
                  <c:v>3.3</c:v>
                </c:pt>
                <c:pt idx="188">
                  <c:v>3.3</c:v>
                </c:pt>
                <c:pt idx="189">
                  <c:v>3.2</c:v>
                </c:pt>
                <c:pt idx="190">
                  <c:v>3.2</c:v>
                </c:pt>
                <c:pt idx="191">
                  <c:v>3.2</c:v>
                </c:pt>
                <c:pt idx="192">
                  <c:v>3.2</c:v>
                </c:pt>
                <c:pt idx="193">
                  <c:v>3.2</c:v>
                </c:pt>
                <c:pt idx="194">
                  <c:v>3.2</c:v>
                </c:pt>
                <c:pt idx="195">
                  <c:v>3.2</c:v>
                </c:pt>
                <c:pt idx="196">
                  <c:v>3.3</c:v>
                </c:pt>
                <c:pt idx="197">
                  <c:v>3.3</c:v>
                </c:pt>
                <c:pt idx="198">
                  <c:v>3.3</c:v>
                </c:pt>
                <c:pt idx="199">
                  <c:v>3.2</c:v>
                </c:pt>
                <c:pt idx="200">
                  <c:v>3.2</c:v>
                </c:pt>
                <c:pt idx="201">
                  <c:v>3.1</c:v>
                </c:pt>
                <c:pt idx="202">
                  <c:v>3.3</c:v>
                </c:pt>
                <c:pt idx="203">
                  <c:v>3.2</c:v>
                </c:pt>
                <c:pt idx="204">
                  <c:v>3.2</c:v>
                </c:pt>
                <c:pt idx="205">
                  <c:v>3.2</c:v>
                </c:pt>
                <c:pt idx="206">
                  <c:v>3.2</c:v>
                </c:pt>
                <c:pt idx="207">
                  <c:v>3.2</c:v>
                </c:pt>
                <c:pt idx="208">
                  <c:v>3.2</c:v>
                </c:pt>
                <c:pt idx="209">
                  <c:v>3.2</c:v>
                </c:pt>
                <c:pt idx="210">
                  <c:v>3.2</c:v>
                </c:pt>
                <c:pt idx="211">
                  <c:v>3.2</c:v>
                </c:pt>
                <c:pt idx="212">
                  <c:v>3.2</c:v>
                </c:pt>
                <c:pt idx="213">
                  <c:v>3.1</c:v>
                </c:pt>
                <c:pt idx="214">
                  <c:v>3.2</c:v>
                </c:pt>
                <c:pt idx="215">
                  <c:v>3.2</c:v>
                </c:pt>
                <c:pt idx="216">
                  <c:v>3.2</c:v>
                </c:pt>
                <c:pt idx="217">
                  <c:v>3.1</c:v>
                </c:pt>
                <c:pt idx="218">
                  <c:v>3.2</c:v>
                </c:pt>
                <c:pt idx="219">
                  <c:v>3.2</c:v>
                </c:pt>
                <c:pt idx="220">
                  <c:v>3.2</c:v>
                </c:pt>
                <c:pt idx="221">
                  <c:v>3.2</c:v>
                </c:pt>
                <c:pt idx="222">
                  <c:v>3.1</c:v>
                </c:pt>
                <c:pt idx="223">
                  <c:v>3.1</c:v>
                </c:pt>
                <c:pt idx="224">
                  <c:v>3.2</c:v>
                </c:pt>
                <c:pt idx="225">
                  <c:v>3.2</c:v>
                </c:pt>
                <c:pt idx="226">
                  <c:v>3.3</c:v>
                </c:pt>
                <c:pt idx="227">
                  <c:v>3.2</c:v>
                </c:pt>
                <c:pt idx="228">
                  <c:v>3.2</c:v>
                </c:pt>
                <c:pt idx="229">
                  <c:v>3.2</c:v>
                </c:pt>
                <c:pt idx="230">
                  <c:v>3.2</c:v>
                </c:pt>
                <c:pt idx="231">
                  <c:v>3.2</c:v>
                </c:pt>
                <c:pt idx="232">
                  <c:v>3.2</c:v>
                </c:pt>
                <c:pt idx="233">
                  <c:v>3.2</c:v>
                </c:pt>
                <c:pt idx="234">
                  <c:v>3.2</c:v>
                </c:pt>
                <c:pt idx="235">
                  <c:v>3.2</c:v>
                </c:pt>
                <c:pt idx="236">
                  <c:v>3.2</c:v>
                </c:pt>
                <c:pt idx="237">
                  <c:v>3.2</c:v>
                </c:pt>
                <c:pt idx="238">
                  <c:v>3.2</c:v>
                </c:pt>
                <c:pt idx="239">
                  <c:v>3.2</c:v>
                </c:pt>
                <c:pt idx="240">
                  <c:v>3.2</c:v>
                </c:pt>
                <c:pt idx="241">
                  <c:v>3.1</c:v>
                </c:pt>
                <c:pt idx="242">
                  <c:v>3.1</c:v>
                </c:pt>
                <c:pt idx="243">
                  <c:v>3.1</c:v>
                </c:pt>
                <c:pt idx="244">
                  <c:v>3.1</c:v>
                </c:pt>
                <c:pt idx="245">
                  <c:v>3.2</c:v>
                </c:pt>
                <c:pt idx="246">
                  <c:v>3.2</c:v>
                </c:pt>
                <c:pt idx="247">
                  <c:v>3.2</c:v>
                </c:pt>
                <c:pt idx="248">
                  <c:v>3.1</c:v>
                </c:pt>
                <c:pt idx="249">
                  <c:v>3.1</c:v>
                </c:pt>
                <c:pt idx="250">
                  <c:v>3.2</c:v>
                </c:pt>
                <c:pt idx="251">
                  <c:v>3.2</c:v>
                </c:pt>
                <c:pt idx="252">
                  <c:v>3.2</c:v>
                </c:pt>
                <c:pt idx="253">
                  <c:v>3.1</c:v>
                </c:pt>
                <c:pt idx="254">
                  <c:v>3.1</c:v>
                </c:pt>
                <c:pt idx="255">
                  <c:v>3.1</c:v>
                </c:pt>
                <c:pt idx="256">
                  <c:v>3.1</c:v>
                </c:pt>
                <c:pt idx="257">
                  <c:v>3.1</c:v>
                </c:pt>
                <c:pt idx="258">
                  <c:v>3.1</c:v>
                </c:pt>
                <c:pt idx="259">
                  <c:v>3.1</c:v>
                </c:pt>
                <c:pt idx="260">
                  <c:v>3.1</c:v>
                </c:pt>
                <c:pt idx="261">
                  <c:v>3.1</c:v>
                </c:pt>
                <c:pt idx="262">
                  <c:v>3.2</c:v>
                </c:pt>
                <c:pt idx="263">
                  <c:v>3.2</c:v>
                </c:pt>
                <c:pt idx="264">
                  <c:v>3.2</c:v>
                </c:pt>
                <c:pt idx="265">
                  <c:v>3.1</c:v>
                </c:pt>
                <c:pt idx="266">
                  <c:v>3.2</c:v>
                </c:pt>
                <c:pt idx="267">
                  <c:v>3.2</c:v>
                </c:pt>
                <c:pt idx="268">
                  <c:v>3.1</c:v>
                </c:pt>
                <c:pt idx="269">
                  <c:v>3.1</c:v>
                </c:pt>
                <c:pt idx="270">
                  <c:v>3.1</c:v>
                </c:pt>
                <c:pt idx="271">
                  <c:v>3.2</c:v>
                </c:pt>
                <c:pt idx="272">
                  <c:v>3.2</c:v>
                </c:pt>
                <c:pt idx="273">
                  <c:v>3.2</c:v>
                </c:pt>
                <c:pt idx="274">
                  <c:v>3.2</c:v>
                </c:pt>
                <c:pt idx="275">
                  <c:v>3.1</c:v>
                </c:pt>
                <c:pt idx="276">
                  <c:v>3.1</c:v>
                </c:pt>
                <c:pt idx="277">
                  <c:v>3.2</c:v>
                </c:pt>
                <c:pt idx="278">
                  <c:v>3.1</c:v>
                </c:pt>
                <c:pt idx="279">
                  <c:v>3.2</c:v>
                </c:pt>
                <c:pt idx="280">
                  <c:v>3.2</c:v>
                </c:pt>
                <c:pt idx="281">
                  <c:v>3.1</c:v>
                </c:pt>
                <c:pt idx="282">
                  <c:v>3.2</c:v>
                </c:pt>
                <c:pt idx="283">
                  <c:v>3.2</c:v>
                </c:pt>
                <c:pt idx="284">
                  <c:v>3.1</c:v>
                </c:pt>
                <c:pt idx="285">
                  <c:v>3.1</c:v>
                </c:pt>
                <c:pt idx="286">
                  <c:v>3</c:v>
                </c:pt>
                <c:pt idx="287">
                  <c:v>3.1</c:v>
                </c:pt>
                <c:pt idx="288">
                  <c:v>3.1</c:v>
                </c:pt>
                <c:pt idx="289">
                  <c:v>3.1</c:v>
                </c:pt>
                <c:pt idx="290">
                  <c:v>3.2</c:v>
                </c:pt>
                <c:pt idx="291">
                  <c:v>3.1</c:v>
                </c:pt>
                <c:pt idx="292">
                  <c:v>3.1</c:v>
                </c:pt>
                <c:pt idx="293">
                  <c:v>3.1</c:v>
                </c:pt>
                <c:pt idx="294">
                  <c:v>3</c:v>
                </c:pt>
                <c:pt idx="295">
                  <c:v>3.1</c:v>
                </c:pt>
                <c:pt idx="296">
                  <c:v>3.2</c:v>
                </c:pt>
                <c:pt idx="297">
                  <c:v>3.1</c:v>
                </c:pt>
                <c:pt idx="298">
                  <c:v>3.1</c:v>
                </c:pt>
                <c:pt idx="2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C-468C-81BC-D38114E91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465423"/>
        <c:axId val="743464463"/>
      </c:scatterChart>
      <c:valAx>
        <c:axId val="7434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4463"/>
        <c:crosses val="autoZero"/>
        <c:crossBetween val="midCat"/>
      </c:valAx>
      <c:valAx>
        <c:axId val="7434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1'!$A$2:$A$301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1'!$D$2:$D$301</c:f>
              <c:numCache>
                <c:formatCode>General</c:formatCode>
                <c:ptCount val="300"/>
                <c:pt idx="0">
                  <c:v>-5.521460917862246</c:v>
                </c:pt>
                <c:pt idx="1">
                  <c:v>-5.521460917862246</c:v>
                </c:pt>
                <c:pt idx="2">
                  <c:v>-5.521460917862246</c:v>
                </c:pt>
                <c:pt idx="3">
                  <c:v>-5.521460917862246</c:v>
                </c:pt>
                <c:pt idx="4">
                  <c:v>-5.521460917862246</c:v>
                </c:pt>
                <c:pt idx="5">
                  <c:v>-5.5467787258465364</c:v>
                </c:pt>
                <c:pt idx="6">
                  <c:v>-5.5467787258465364</c:v>
                </c:pt>
                <c:pt idx="7">
                  <c:v>-5.521460917862246</c:v>
                </c:pt>
                <c:pt idx="8">
                  <c:v>-5.5467787258465364</c:v>
                </c:pt>
                <c:pt idx="9">
                  <c:v>-5.5467787258465364</c:v>
                </c:pt>
                <c:pt idx="10">
                  <c:v>-5.5467787258465364</c:v>
                </c:pt>
                <c:pt idx="11">
                  <c:v>-5.5467787258465364</c:v>
                </c:pt>
                <c:pt idx="12">
                  <c:v>-5.521460917862246</c:v>
                </c:pt>
                <c:pt idx="13">
                  <c:v>-5.5467787258465364</c:v>
                </c:pt>
                <c:pt idx="14">
                  <c:v>-5.5467787258465364</c:v>
                </c:pt>
                <c:pt idx="15">
                  <c:v>-5.5467787258465364</c:v>
                </c:pt>
                <c:pt idx="16">
                  <c:v>-5.521460917862246</c:v>
                </c:pt>
                <c:pt idx="17">
                  <c:v>-5.5467787258465364</c:v>
                </c:pt>
                <c:pt idx="18">
                  <c:v>-5.5467787258465364</c:v>
                </c:pt>
                <c:pt idx="19">
                  <c:v>-5.5467787258465364</c:v>
                </c:pt>
                <c:pt idx="20">
                  <c:v>-5.5467787258465364</c:v>
                </c:pt>
                <c:pt idx="21">
                  <c:v>-5.5467787258465364</c:v>
                </c:pt>
                <c:pt idx="22">
                  <c:v>-5.5727542122497971</c:v>
                </c:pt>
                <c:pt idx="23">
                  <c:v>-5.5727542122497971</c:v>
                </c:pt>
                <c:pt idx="24">
                  <c:v>-5.5727542122497971</c:v>
                </c:pt>
                <c:pt idx="25">
                  <c:v>-5.5467787258465364</c:v>
                </c:pt>
                <c:pt idx="26">
                  <c:v>-5.5727542122497971</c:v>
                </c:pt>
                <c:pt idx="27">
                  <c:v>-5.5727542122497971</c:v>
                </c:pt>
                <c:pt idx="28">
                  <c:v>-5.5467787258465364</c:v>
                </c:pt>
                <c:pt idx="29">
                  <c:v>-5.5467787258465364</c:v>
                </c:pt>
                <c:pt idx="30">
                  <c:v>-5.5467787258465364</c:v>
                </c:pt>
                <c:pt idx="31">
                  <c:v>-5.5467787258465364</c:v>
                </c:pt>
                <c:pt idx="32">
                  <c:v>-5.5467787258465364</c:v>
                </c:pt>
                <c:pt idx="33">
                  <c:v>-5.5467787258465364</c:v>
                </c:pt>
                <c:pt idx="34">
                  <c:v>-5.5467787258465364</c:v>
                </c:pt>
                <c:pt idx="35">
                  <c:v>-5.5467787258465364</c:v>
                </c:pt>
                <c:pt idx="36">
                  <c:v>-5.5727542122497971</c:v>
                </c:pt>
                <c:pt idx="37">
                  <c:v>-5.5727542122497971</c:v>
                </c:pt>
                <c:pt idx="38">
                  <c:v>-5.5727542122497971</c:v>
                </c:pt>
                <c:pt idx="39">
                  <c:v>-5.5727542122497971</c:v>
                </c:pt>
                <c:pt idx="40">
                  <c:v>-5.5727542122497971</c:v>
                </c:pt>
                <c:pt idx="41">
                  <c:v>-5.5727542122497971</c:v>
                </c:pt>
                <c:pt idx="42">
                  <c:v>-5.5727542122497971</c:v>
                </c:pt>
                <c:pt idx="43">
                  <c:v>-5.5727542122497971</c:v>
                </c:pt>
                <c:pt idx="44">
                  <c:v>-5.5727542122497971</c:v>
                </c:pt>
                <c:pt idx="45">
                  <c:v>-5.5994224593319579</c:v>
                </c:pt>
                <c:pt idx="46">
                  <c:v>-5.5727542122497971</c:v>
                </c:pt>
                <c:pt idx="47">
                  <c:v>-5.5994224593319579</c:v>
                </c:pt>
                <c:pt idx="48">
                  <c:v>-5.5994224593319579</c:v>
                </c:pt>
                <c:pt idx="49">
                  <c:v>-5.5727542122497971</c:v>
                </c:pt>
                <c:pt idx="50">
                  <c:v>-5.5994224593319579</c:v>
                </c:pt>
                <c:pt idx="51">
                  <c:v>-5.5994224593319579</c:v>
                </c:pt>
                <c:pt idx="52">
                  <c:v>-5.5994224593319579</c:v>
                </c:pt>
                <c:pt idx="53">
                  <c:v>-5.5994224593319579</c:v>
                </c:pt>
                <c:pt idx="54">
                  <c:v>-5.5994224593319579</c:v>
                </c:pt>
                <c:pt idx="55">
                  <c:v>-5.5994224593319579</c:v>
                </c:pt>
                <c:pt idx="56">
                  <c:v>-5.5994224593319579</c:v>
                </c:pt>
                <c:pt idx="57">
                  <c:v>-5.5994224593319579</c:v>
                </c:pt>
                <c:pt idx="58">
                  <c:v>-5.5994224593319579</c:v>
                </c:pt>
                <c:pt idx="59">
                  <c:v>-5.5994224593319579</c:v>
                </c:pt>
                <c:pt idx="60">
                  <c:v>-5.5994224593319579</c:v>
                </c:pt>
                <c:pt idx="61">
                  <c:v>-5.6268214335200728</c:v>
                </c:pt>
                <c:pt idx="62">
                  <c:v>-5.5994224593319579</c:v>
                </c:pt>
                <c:pt idx="63">
                  <c:v>-5.5994224593319579</c:v>
                </c:pt>
                <c:pt idx="64">
                  <c:v>-5.5994224593319579</c:v>
                </c:pt>
                <c:pt idx="65">
                  <c:v>-5.6268214335200728</c:v>
                </c:pt>
                <c:pt idx="66">
                  <c:v>-5.5994224593319579</c:v>
                </c:pt>
                <c:pt idx="67">
                  <c:v>-5.6268214335200728</c:v>
                </c:pt>
                <c:pt idx="68">
                  <c:v>-5.6268214335200728</c:v>
                </c:pt>
                <c:pt idx="69">
                  <c:v>-5.6268214335200728</c:v>
                </c:pt>
                <c:pt idx="70">
                  <c:v>-5.6268214335200728</c:v>
                </c:pt>
                <c:pt idx="71">
                  <c:v>-5.6268214335200728</c:v>
                </c:pt>
                <c:pt idx="72">
                  <c:v>-5.6268214335200728</c:v>
                </c:pt>
                <c:pt idx="73">
                  <c:v>-5.6268214335200728</c:v>
                </c:pt>
                <c:pt idx="74">
                  <c:v>-5.6268214335200728</c:v>
                </c:pt>
                <c:pt idx="75">
                  <c:v>-5.6268214335200728</c:v>
                </c:pt>
                <c:pt idx="76">
                  <c:v>-5.6268214335200728</c:v>
                </c:pt>
                <c:pt idx="77">
                  <c:v>-5.6268214335200728</c:v>
                </c:pt>
                <c:pt idx="78">
                  <c:v>-5.6268214335200728</c:v>
                </c:pt>
                <c:pt idx="79">
                  <c:v>-5.6268214335200728</c:v>
                </c:pt>
                <c:pt idx="80">
                  <c:v>-5.6549923104867688</c:v>
                </c:pt>
                <c:pt idx="81">
                  <c:v>-5.6549923104867688</c:v>
                </c:pt>
                <c:pt idx="82">
                  <c:v>-5.6268214335200728</c:v>
                </c:pt>
                <c:pt idx="83">
                  <c:v>-5.6268214335200728</c:v>
                </c:pt>
                <c:pt idx="84">
                  <c:v>-5.6549923104867688</c:v>
                </c:pt>
                <c:pt idx="85">
                  <c:v>-5.6549923104867688</c:v>
                </c:pt>
                <c:pt idx="86">
                  <c:v>-5.6549923104867688</c:v>
                </c:pt>
                <c:pt idx="87">
                  <c:v>-5.6268214335200728</c:v>
                </c:pt>
                <c:pt idx="88">
                  <c:v>-5.6549923104867688</c:v>
                </c:pt>
                <c:pt idx="89">
                  <c:v>-5.6549923104867688</c:v>
                </c:pt>
                <c:pt idx="90">
                  <c:v>-5.6549923104867688</c:v>
                </c:pt>
                <c:pt idx="91">
                  <c:v>-5.6549923104867688</c:v>
                </c:pt>
                <c:pt idx="92">
                  <c:v>-5.6549923104867688</c:v>
                </c:pt>
                <c:pt idx="93">
                  <c:v>-5.6549923104867688</c:v>
                </c:pt>
                <c:pt idx="94">
                  <c:v>-5.6268214335200728</c:v>
                </c:pt>
                <c:pt idx="95">
                  <c:v>-5.6268214335200728</c:v>
                </c:pt>
                <c:pt idx="96">
                  <c:v>-5.6268214335200728</c:v>
                </c:pt>
                <c:pt idx="97">
                  <c:v>-5.6549923104867688</c:v>
                </c:pt>
                <c:pt idx="98">
                  <c:v>-5.6268214335200728</c:v>
                </c:pt>
                <c:pt idx="99">
                  <c:v>-5.6268214335200728</c:v>
                </c:pt>
                <c:pt idx="100">
                  <c:v>-5.6549923104867688</c:v>
                </c:pt>
                <c:pt idx="101">
                  <c:v>-5.6549923104867688</c:v>
                </c:pt>
                <c:pt idx="102">
                  <c:v>-5.6268214335200728</c:v>
                </c:pt>
                <c:pt idx="103">
                  <c:v>-5.6268214335200728</c:v>
                </c:pt>
                <c:pt idx="104">
                  <c:v>-5.6549923104867688</c:v>
                </c:pt>
                <c:pt idx="105">
                  <c:v>-5.6549923104867688</c:v>
                </c:pt>
                <c:pt idx="106">
                  <c:v>-5.6839798473600212</c:v>
                </c:pt>
                <c:pt idx="107">
                  <c:v>-5.6549923104867688</c:v>
                </c:pt>
                <c:pt idx="108">
                  <c:v>-5.6549923104867688</c:v>
                </c:pt>
                <c:pt idx="109">
                  <c:v>-5.6549923104867688</c:v>
                </c:pt>
                <c:pt idx="110">
                  <c:v>-5.6839798473600212</c:v>
                </c:pt>
                <c:pt idx="111">
                  <c:v>-5.6839798473600212</c:v>
                </c:pt>
                <c:pt idx="112">
                  <c:v>-5.6839798473600212</c:v>
                </c:pt>
                <c:pt idx="113">
                  <c:v>-5.6549923104867688</c:v>
                </c:pt>
                <c:pt idx="114">
                  <c:v>-5.6839798473600212</c:v>
                </c:pt>
                <c:pt idx="115">
                  <c:v>-5.6549923104867688</c:v>
                </c:pt>
                <c:pt idx="116">
                  <c:v>-5.6839798473600212</c:v>
                </c:pt>
                <c:pt idx="117">
                  <c:v>-5.6839798473600212</c:v>
                </c:pt>
                <c:pt idx="118">
                  <c:v>-5.6549923104867688</c:v>
                </c:pt>
                <c:pt idx="119">
                  <c:v>-5.7138328105097029</c:v>
                </c:pt>
                <c:pt idx="120">
                  <c:v>-5.6839798473600212</c:v>
                </c:pt>
                <c:pt idx="121">
                  <c:v>-5.7138328105097029</c:v>
                </c:pt>
                <c:pt idx="122">
                  <c:v>-5.6839798473600212</c:v>
                </c:pt>
                <c:pt idx="123">
                  <c:v>-5.6839798473600212</c:v>
                </c:pt>
                <c:pt idx="124">
                  <c:v>-5.6839798473600212</c:v>
                </c:pt>
                <c:pt idx="125">
                  <c:v>-5.7138328105097029</c:v>
                </c:pt>
                <c:pt idx="126">
                  <c:v>-5.6839798473600212</c:v>
                </c:pt>
                <c:pt idx="127">
                  <c:v>-5.6839798473600212</c:v>
                </c:pt>
                <c:pt idx="128">
                  <c:v>-5.6839798473600212</c:v>
                </c:pt>
                <c:pt idx="129">
                  <c:v>-5.6839798473600212</c:v>
                </c:pt>
                <c:pt idx="130">
                  <c:v>-5.6839798473600212</c:v>
                </c:pt>
                <c:pt idx="131">
                  <c:v>-5.6839798473600212</c:v>
                </c:pt>
                <c:pt idx="132">
                  <c:v>-5.6839798473600212</c:v>
                </c:pt>
                <c:pt idx="133">
                  <c:v>-5.6549923104867688</c:v>
                </c:pt>
                <c:pt idx="134">
                  <c:v>-5.6839798473600212</c:v>
                </c:pt>
                <c:pt idx="135">
                  <c:v>-5.6839798473600212</c:v>
                </c:pt>
                <c:pt idx="136">
                  <c:v>-5.6549923104867688</c:v>
                </c:pt>
                <c:pt idx="137">
                  <c:v>-5.6839798473600212</c:v>
                </c:pt>
                <c:pt idx="138">
                  <c:v>-5.6839798473600212</c:v>
                </c:pt>
                <c:pt idx="139">
                  <c:v>-5.7138328105097029</c:v>
                </c:pt>
                <c:pt idx="140">
                  <c:v>-5.7138328105097029</c:v>
                </c:pt>
                <c:pt idx="141">
                  <c:v>-5.6839798473600212</c:v>
                </c:pt>
                <c:pt idx="142">
                  <c:v>-5.6839798473600212</c:v>
                </c:pt>
                <c:pt idx="143">
                  <c:v>-5.6839798473600212</c:v>
                </c:pt>
                <c:pt idx="144">
                  <c:v>-5.6839798473600212</c:v>
                </c:pt>
                <c:pt idx="145">
                  <c:v>-5.6839798473600212</c:v>
                </c:pt>
                <c:pt idx="146">
                  <c:v>-5.6839798473600212</c:v>
                </c:pt>
                <c:pt idx="147">
                  <c:v>-5.6839798473600212</c:v>
                </c:pt>
                <c:pt idx="148">
                  <c:v>-5.6839798473600212</c:v>
                </c:pt>
                <c:pt idx="149">
                  <c:v>-5.6839798473600212</c:v>
                </c:pt>
                <c:pt idx="150">
                  <c:v>-5.6839798473600212</c:v>
                </c:pt>
                <c:pt idx="151">
                  <c:v>-5.7138328105097029</c:v>
                </c:pt>
                <c:pt idx="152">
                  <c:v>-5.7138328105097029</c:v>
                </c:pt>
                <c:pt idx="153">
                  <c:v>-5.7138328105097029</c:v>
                </c:pt>
                <c:pt idx="154">
                  <c:v>-5.7138328105097029</c:v>
                </c:pt>
                <c:pt idx="155">
                  <c:v>-5.7138328105097029</c:v>
                </c:pt>
                <c:pt idx="156">
                  <c:v>-5.7138328105097029</c:v>
                </c:pt>
                <c:pt idx="157">
                  <c:v>-5.7138328105097029</c:v>
                </c:pt>
                <c:pt idx="158">
                  <c:v>-5.7138328105097029</c:v>
                </c:pt>
                <c:pt idx="159">
                  <c:v>-5.6839798473600212</c:v>
                </c:pt>
                <c:pt idx="160">
                  <c:v>-5.6839798473600212</c:v>
                </c:pt>
                <c:pt idx="161">
                  <c:v>-5.6839798473600212</c:v>
                </c:pt>
                <c:pt idx="162">
                  <c:v>-5.7138328105097029</c:v>
                </c:pt>
                <c:pt idx="163">
                  <c:v>-5.7138328105097029</c:v>
                </c:pt>
                <c:pt idx="164">
                  <c:v>-5.6839798473600212</c:v>
                </c:pt>
                <c:pt idx="165">
                  <c:v>-5.6839798473600212</c:v>
                </c:pt>
                <c:pt idx="166">
                  <c:v>-5.6839798473600212</c:v>
                </c:pt>
                <c:pt idx="167">
                  <c:v>-5.7138328105097029</c:v>
                </c:pt>
                <c:pt idx="168">
                  <c:v>-5.6839798473600212</c:v>
                </c:pt>
                <c:pt idx="169">
                  <c:v>-5.7138328105097029</c:v>
                </c:pt>
                <c:pt idx="170">
                  <c:v>-5.6839798473600212</c:v>
                </c:pt>
                <c:pt idx="171">
                  <c:v>-5.7138328105097029</c:v>
                </c:pt>
                <c:pt idx="172">
                  <c:v>-5.7138328105097029</c:v>
                </c:pt>
                <c:pt idx="173">
                  <c:v>-5.7138328105097029</c:v>
                </c:pt>
                <c:pt idx="174">
                  <c:v>-5.7138328105097029</c:v>
                </c:pt>
                <c:pt idx="175">
                  <c:v>-5.7446044691764557</c:v>
                </c:pt>
                <c:pt idx="176">
                  <c:v>-5.7138328105097029</c:v>
                </c:pt>
                <c:pt idx="177">
                  <c:v>-5.7138328105097029</c:v>
                </c:pt>
                <c:pt idx="178">
                  <c:v>-5.6839798473600212</c:v>
                </c:pt>
                <c:pt idx="179">
                  <c:v>-5.7138328105097029</c:v>
                </c:pt>
                <c:pt idx="180">
                  <c:v>-5.7138328105097029</c:v>
                </c:pt>
                <c:pt idx="181">
                  <c:v>-5.6839798473600212</c:v>
                </c:pt>
                <c:pt idx="182">
                  <c:v>-5.7138328105097029</c:v>
                </c:pt>
                <c:pt idx="183">
                  <c:v>-5.7138328105097029</c:v>
                </c:pt>
                <c:pt idx="184">
                  <c:v>-5.7138328105097029</c:v>
                </c:pt>
                <c:pt idx="185">
                  <c:v>-5.7446044691764557</c:v>
                </c:pt>
                <c:pt idx="186">
                  <c:v>-5.7446044691764557</c:v>
                </c:pt>
                <c:pt idx="187">
                  <c:v>-5.7138328105097029</c:v>
                </c:pt>
                <c:pt idx="188">
                  <c:v>-5.7138328105097029</c:v>
                </c:pt>
                <c:pt idx="189">
                  <c:v>-5.7446044691764557</c:v>
                </c:pt>
                <c:pt idx="190">
                  <c:v>-5.7446044691764557</c:v>
                </c:pt>
                <c:pt idx="191">
                  <c:v>-5.7446044691764557</c:v>
                </c:pt>
                <c:pt idx="192">
                  <c:v>-5.7446044691764557</c:v>
                </c:pt>
                <c:pt idx="193">
                  <c:v>-5.7446044691764557</c:v>
                </c:pt>
                <c:pt idx="194">
                  <c:v>-5.7446044691764557</c:v>
                </c:pt>
                <c:pt idx="195">
                  <c:v>-5.7446044691764557</c:v>
                </c:pt>
                <c:pt idx="196">
                  <c:v>-5.7138328105097029</c:v>
                </c:pt>
                <c:pt idx="197">
                  <c:v>-5.7138328105097029</c:v>
                </c:pt>
                <c:pt idx="198">
                  <c:v>-5.7138328105097029</c:v>
                </c:pt>
                <c:pt idx="199">
                  <c:v>-5.7446044691764557</c:v>
                </c:pt>
                <c:pt idx="200">
                  <c:v>-5.7446044691764557</c:v>
                </c:pt>
                <c:pt idx="201">
                  <c:v>-5.7763531674910364</c:v>
                </c:pt>
                <c:pt idx="202">
                  <c:v>-5.7138328105097029</c:v>
                </c:pt>
                <c:pt idx="203">
                  <c:v>-5.7446044691764557</c:v>
                </c:pt>
                <c:pt idx="204">
                  <c:v>-5.7446044691764557</c:v>
                </c:pt>
                <c:pt idx="205">
                  <c:v>-5.7446044691764557</c:v>
                </c:pt>
                <c:pt idx="206">
                  <c:v>-5.7446044691764557</c:v>
                </c:pt>
                <c:pt idx="207">
                  <c:v>-5.7446044691764557</c:v>
                </c:pt>
                <c:pt idx="208">
                  <c:v>-5.7446044691764557</c:v>
                </c:pt>
                <c:pt idx="209">
                  <c:v>-5.7446044691764557</c:v>
                </c:pt>
                <c:pt idx="210">
                  <c:v>-5.7446044691764557</c:v>
                </c:pt>
                <c:pt idx="211">
                  <c:v>-5.7446044691764557</c:v>
                </c:pt>
                <c:pt idx="212">
                  <c:v>-5.7446044691764557</c:v>
                </c:pt>
                <c:pt idx="213">
                  <c:v>-5.7763531674910364</c:v>
                </c:pt>
                <c:pt idx="214">
                  <c:v>-5.7446044691764557</c:v>
                </c:pt>
                <c:pt idx="215">
                  <c:v>-5.7446044691764557</c:v>
                </c:pt>
                <c:pt idx="216">
                  <c:v>-5.7446044691764557</c:v>
                </c:pt>
                <c:pt idx="217">
                  <c:v>-5.7763531674910364</c:v>
                </c:pt>
                <c:pt idx="218">
                  <c:v>-5.7446044691764557</c:v>
                </c:pt>
                <c:pt idx="219">
                  <c:v>-5.7446044691764557</c:v>
                </c:pt>
                <c:pt idx="220">
                  <c:v>-5.7446044691764557</c:v>
                </c:pt>
                <c:pt idx="221">
                  <c:v>-5.7446044691764557</c:v>
                </c:pt>
                <c:pt idx="222">
                  <c:v>-5.7763531674910364</c:v>
                </c:pt>
                <c:pt idx="223">
                  <c:v>-5.7763531674910364</c:v>
                </c:pt>
                <c:pt idx="224">
                  <c:v>-5.7446044691764557</c:v>
                </c:pt>
                <c:pt idx="225">
                  <c:v>-5.7446044691764557</c:v>
                </c:pt>
                <c:pt idx="226">
                  <c:v>-5.7138328105097029</c:v>
                </c:pt>
                <c:pt idx="227">
                  <c:v>-5.7446044691764557</c:v>
                </c:pt>
                <c:pt idx="228">
                  <c:v>-5.7446044691764557</c:v>
                </c:pt>
                <c:pt idx="229">
                  <c:v>-5.7446044691764557</c:v>
                </c:pt>
                <c:pt idx="230">
                  <c:v>-5.7446044691764557</c:v>
                </c:pt>
                <c:pt idx="231">
                  <c:v>-5.7446044691764557</c:v>
                </c:pt>
                <c:pt idx="232">
                  <c:v>-5.7446044691764557</c:v>
                </c:pt>
                <c:pt idx="233">
                  <c:v>-5.7446044691764557</c:v>
                </c:pt>
                <c:pt idx="234">
                  <c:v>-5.7446044691764557</c:v>
                </c:pt>
                <c:pt idx="235">
                  <c:v>-5.7446044691764557</c:v>
                </c:pt>
                <c:pt idx="236">
                  <c:v>-5.7446044691764557</c:v>
                </c:pt>
                <c:pt idx="237">
                  <c:v>-5.7446044691764557</c:v>
                </c:pt>
                <c:pt idx="238">
                  <c:v>-5.7446044691764557</c:v>
                </c:pt>
                <c:pt idx="239">
                  <c:v>-5.7446044691764557</c:v>
                </c:pt>
                <c:pt idx="240">
                  <c:v>-5.7446044691764557</c:v>
                </c:pt>
                <c:pt idx="241">
                  <c:v>-5.7763531674910364</c:v>
                </c:pt>
                <c:pt idx="242">
                  <c:v>-5.7763531674910364</c:v>
                </c:pt>
                <c:pt idx="243">
                  <c:v>-5.7763531674910364</c:v>
                </c:pt>
                <c:pt idx="244">
                  <c:v>-5.7763531674910364</c:v>
                </c:pt>
                <c:pt idx="245">
                  <c:v>-5.7446044691764557</c:v>
                </c:pt>
                <c:pt idx="246">
                  <c:v>-5.7446044691764557</c:v>
                </c:pt>
                <c:pt idx="247">
                  <c:v>-5.7446044691764557</c:v>
                </c:pt>
                <c:pt idx="248">
                  <c:v>-5.7763531674910364</c:v>
                </c:pt>
                <c:pt idx="249">
                  <c:v>-5.7763531674910364</c:v>
                </c:pt>
                <c:pt idx="250">
                  <c:v>-5.7446044691764557</c:v>
                </c:pt>
                <c:pt idx="251">
                  <c:v>-5.7446044691764557</c:v>
                </c:pt>
                <c:pt idx="252">
                  <c:v>-5.7446044691764557</c:v>
                </c:pt>
                <c:pt idx="253">
                  <c:v>-5.7763531674910364</c:v>
                </c:pt>
                <c:pt idx="254">
                  <c:v>-5.7763531674910364</c:v>
                </c:pt>
                <c:pt idx="255">
                  <c:v>-5.7763531674910364</c:v>
                </c:pt>
                <c:pt idx="256">
                  <c:v>-5.7763531674910364</c:v>
                </c:pt>
                <c:pt idx="257">
                  <c:v>-5.7763531674910364</c:v>
                </c:pt>
                <c:pt idx="258">
                  <c:v>-5.7763531674910364</c:v>
                </c:pt>
                <c:pt idx="259">
                  <c:v>-5.7763531674910364</c:v>
                </c:pt>
                <c:pt idx="260">
                  <c:v>-5.7763531674910364</c:v>
                </c:pt>
                <c:pt idx="261">
                  <c:v>-5.7763531674910364</c:v>
                </c:pt>
                <c:pt idx="262">
                  <c:v>-5.7446044691764557</c:v>
                </c:pt>
                <c:pt idx="263">
                  <c:v>-5.7446044691764557</c:v>
                </c:pt>
                <c:pt idx="264">
                  <c:v>-5.7446044691764557</c:v>
                </c:pt>
                <c:pt idx="265">
                  <c:v>-5.7763531674910364</c:v>
                </c:pt>
                <c:pt idx="266">
                  <c:v>-5.7446044691764557</c:v>
                </c:pt>
                <c:pt idx="267">
                  <c:v>-5.7446044691764557</c:v>
                </c:pt>
                <c:pt idx="268">
                  <c:v>-5.7763531674910364</c:v>
                </c:pt>
                <c:pt idx="269">
                  <c:v>-5.7763531674910364</c:v>
                </c:pt>
                <c:pt idx="270">
                  <c:v>-5.7763531674910364</c:v>
                </c:pt>
                <c:pt idx="271">
                  <c:v>-5.7446044691764557</c:v>
                </c:pt>
                <c:pt idx="272">
                  <c:v>-5.7446044691764557</c:v>
                </c:pt>
                <c:pt idx="273">
                  <c:v>-5.7446044691764557</c:v>
                </c:pt>
                <c:pt idx="274">
                  <c:v>-5.7446044691764557</c:v>
                </c:pt>
                <c:pt idx="275">
                  <c:v>-5.7763531674910364</c:v>
                </c:pt>
                <c:pt idx="276">
                  <c:v>-5.7763531674910364</c:v>
                </c:pt>
                <c:pt idx="277">
                  <c:v>-5.7446044691764557</c:v>
                </c:pt>
                <c:pt idx="278">
                  <c:v>-5.7763531674910364</c:v>
                </c:pt>
                <c:pt idx="279">
                  <c:v>-5.7446044691764557</c:v>
                </c:pt>
                <c:pt idx="280">
                  <c:v>-5.7446044691764557</c:v>
                </c:pt>
                <c:pt idx="281">
                  <c:v>-5.7763531674910364</c:v>
                </c:pt>
                <c:pt idx="282">
                  <c:v>-5.7446044691764557</c:v>
                </c:pt>
                <c:pt idx="283">
                  <c:v>-5.7446044691764557</c:v>
                </c:pt>
                <c:pt idx="284">
                  <c:v>-5.7763531674910364</c:v>
                </c:pt>
                <c:pt idx="285">
                  <c:v>-5.7763531674910364</c:v>
                </c:pt>
                <c:pt idx="286">
                  <c:v>-5.8091429903140277</c:v>
                </c:pt>
                <c:pt idx="287">
                  <c:v>-5.7763531674910364</c:v>
                </c:pt>
                <c:pt idx="288">
                  <c:v>-5.7763531674910364</c:v>
                </c:pt>
                <c:pt idx="289">
                  <c:v>-5.7763531674910364</c:v>
                </c:pt>
                <c:pt idx="290">
                  <c:v>-5.7446044691764557</c:v>
                </c:pt>
                <c:pt idx="291">
                  <c:v>-5.7763531674910364</c:v>
                </c:pt>
                <c:pt idx="292">
                  <c:v>-5.7763531674910364</c:v>
                </c:pt>
                <c:pt idx="293">
                  <c:v>-5.7763531674910364</c:v>
                </c:pt>
                <c:pt idx="294">
                  <c:v>-5.8091429903140277</c:v>
                </c:pt>
                <c:pt idx="295">
                  <c:v>-5.7763531674910364</c:v>
                </c:pt>
                <c:pt idx="296">
                  <c:v>-5.7446044691764557</c:v>
                </c:pt>
                <c:pt idx="297">
                  <c:v>-5.7763531674910364</c:v>
                </c:pt>
                <c:pt idx="298">
                  <c:v>-5.7763531674910364</c:v>
                </c:pt>
                <c:pt idx="299">
                  <c:v>-5.8091429903140277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D6-40D0-9FCF-A0B7F08F19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25487"/>
        <c:axId val="747122127"/>
      </c:scatterChart>
      <c:valAx>
        <c:axId val="74712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2127"/>
        <c:crosses val="autoZero"/>
        <c:crossBetween val="midCat"/>
      </c:valAx>
      <c:valAx>
        <c:axId val="7471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420800524934383E-2"/>
                  <c:y val="-0.32298301254009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2'!$B$2:$B$301</c:f>
              <c:numCache>
                <c:formatCode>General</c:formatCode>
                <c:ptCount val="30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3.9</c:v>
                </c:pt>
                <c:pt idx="6">
                  <c:v>3.9</c:v>
                </c:pt>
                <c:pt idx="7">
                  <c:v>4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3.9</c:v>
                </c:pt>
                <c:pt idx="12">
                  <c:v>4</c:v>
                </c:pt>
                <c:pt idx="13">
                  <c:v>3.9</c:v>
                </c:pt>
                <c:pt idx="14">
                  <c:v>3.9</c:v>
                </c:pt>
                <c:pt idx="15">
                  <c:v>3.9</c:v>
                </c:pt>
                <c:pt idx="16">
                  <c:v>4</c:v>
                </c:pt>
                <c:pt idx="17">
                  <c:v>3.9</c:v>
                </c:pt>
                <c:pt idx="18">
                  <c:v>3.9</c:v>
                </c:pt>
                <c:pt idx="19">
                  <c:v>3.9</c:v>
                </c:pt>
                <c:pt idx="20">
                  <c:v>3.9</c:v>
                </c:pt>
                <c:pt idx="21">
                  <c:v>3.9</c:v>
                </c:pt>
                <c:pt idx="22">
                  <c:v>3.8</c:v>
                </c:pt>
                <c:pt idx="23">
                  <c:v>3.8</c:v>
                </c:pt>
                <c:pt idx="24">
                  <c:v>3.8</c:v>
                </c:pt>
                <c:pt idx="25">
                  <c:v>3.9</c:v>
                </c:pt>
                <c:pt idx="26">
                  <c:v>3.8</c:v>
                </c:pt>
                <c:pt idx="27">
                  <c:v>3.8</c:v>
                </c:pt>
                <c:pt idx="28">
                  <c:v>3.9</c:v>
                </c:pt>
                <c:pt idx="29">
                  <c:v>3.9</c:v>
                </c:pt>
                <c:pt idx="30">
                  <c:v>3.9</c:v>
                </c:pt>
                <c:pt idx="31">
                  <c:v>3.9</c:v>
                </c:pt>
                <c:pt idx="32">
                  <c:v>3.9</c:v>
                </c:pt>
                <c:pt idx="33">
                  <c:v>3.9</c:v>
                </c:pt>
                <c:pt idx="34">
                  <c:v>3.9</c:v>
                </c:pt>
                <c:pt idx="35">
                  <c:v>3.9</c:v>
                </c:pt>
                <c:pt idx="36">
                  <c:v>3.8</c:v>
                </c:pt>
                <c:pt idx="37">
                  <c:v>3.8</c:v>
                </c:pt>
                <c:pt idx="38">
                  <c:v>3.8</c:v>
                </c:pt>
                <c:pt idx="39">
                  <c:v>3.8</c:v>
                </c:pt>
                <c:pt idx="40">
                  <c:v>3.8</c:v>
                </c:pt>
                <c:pt idx="41">
                  <c:v>3.8</c:v>
                </c:pt>
                <c:pt idx="42">
                  <c:v>3.8</c:v>
                </c:pt>
                <c:pt idx="43">
                  <c:v>3.8</c:v>
                </c:pt>
                <c:pt idx="44">
                  <c:v>3.8</c:v>
                </c:pt>
                <c:pt idx="45">
                  <c:v>3.7</c:v>
                </c:pt>
                <c:pt idx="46">
                  <c:v>3.8</c:v>
                </c:pt>
                <c:pt idx="47">
                  <c:v>3.7</c:v>
                </c:pt>
                <c:pt idx="48">
                  <c:v>3.7</c:v>
                </c:pt>
                <c:pt idx="49">
                  <c:v>3.8</c:v>
                </c:pt>
                <c:pt idx="50">
                  <c:v>3.7</c:v>
                </c:pt>
                <c:pt idx="51">
                  <c:v>3.7</c:v>
                </c:pt>
                <c:pt idx="52">
                  <c:v>3.7</c:v>
                </c:pt>
                <c:pt idx="53">
                  <c:v>3.7</c:v>
                </c:pt>
                <c:pt idx="54">
                  <c:v>3.7</c:v>
                </c:pt>
                <c:pt idx="55">
                  <c:v>3.7</c:v>
                </c:pt>
                <c:pt idx="56">
                  <c:v>3.7</c:v>
                </c:pt>
                <c:pt idx="57">
                  <c:v>3.7</c:v>
                </c:pt>
                <c:pt idx="58">
                  <c:v>3.7</c:v>
                </c:pt>
                <c:pt idx="59">
                  <c:v>3.7</c:v>
                </c:pt>
                <c:pt idx="60">
                  <c:v>3.7</c:v>
                </c:pt>
                <c:pt idx="61">
                  <c:v>3.6</c:v>
                </c:pt>
                <c:pt idx="62">
                  <c:v>3.7</c:v>
                </c:pt>
                <c:pt idx="63">
                  <c:v>3.7</c:v>
                </c:pt>
                <c:pt idx="64">
                  <c:v>3.7</c:v>
                </c:pt>
                <c:pt idx="65">
                  <c:v>3.6</c:v>
                </c:pt>
                <c:pt idx="66">
                  <c:v>3.7</c:v>
                </c:pt>
                <c:pt idx="67">
                  <c:v>3.6</c:v>
                </c:pt>
                <c:pt idx="68">
                  <c:v>3.6</c:v>
                </c:pt>
                <c:pt idx="69">
                  <c:v>3.6</c:v>
                </c:pt>
                <c:pt idx="70">
                  <c:v>3.6</c:v>
                </c:pt>
                <c:pt idx="71">
                  <c:v>3.6</c:v>
                </c:pt>
                <c:pt idx="72">
                  <c:v>3.6</c:v>
                </c:pt>
                <c:pt idx="73">
                  <c:v>3.6</c:v>
                </c:pt>
                <c:pt idx="74">
                  <c:v>3.6</c:v>
                </c:pt>
                <c:pt idx="75">
                  <c:v>3.6</c:v>
                </c:pt>
                <c:pt idx="76">
                  <c:v>3.6</c:v>
                </c:pt>
                <c:pt idx="77">
                  <c:v>3.6</c:v>
                </c:pt>
                <c:pt idx="78">
                  <c:v>3.6</c:v>
                </c:pt>
                <c:pt idx="79">
                  <c:v>3.6</c:v>
                </c:pt>
                <c:pt idx="80">
                  <c:v>3.5</c:v>
                </c:pt>
                <c:pt idx="81">
                  <c:v>3.5</c:v>
                </c:pt>
                <c:pt idx="82">
                  <c:v>3.6</c:v>
                </c:pt>
                <c:pt idx="83">
                  <c:v>3.6</c:v>
                </c:pt>
                <c:pt idx="84">
                  <c:v>3.5</c:v>
                </c:pt>
                <c:pt idx="85">
                  <c:v>3.5</c:v>
                </c:pt>
                <c:pt idx="86">
                  <c:v>3.5</c:v>
                </c:pt>
                <c:pt idx="87">
                  <c:v>3.6</c:v>
                </c:pt>
                <c:pt idx="88">
                  <c:v>3.5</c:v>
                </c:pt>
                <c:pt idx="89">
                  <c:v>3.5</c:v>
                </c:pt>
                <c:pt idx="90">
                  <c:v>3.5</c:v>
                </c:pt>
                <c:pt idx="91">
                  <c:v>3.5</c:v>
                </c:pt>
                <c:pt idx="92">
                  <c:v>3.5</c:v>
                </c:pt>
                <c:pt idx="93">
                  <c:v>3.5</c:v>
                </c:pt>
                <c:pt idx="94">
                  <c:v>3.6</c:v>
                </c:pt>
                <c:pt idx="95">
                  <c:v>3.6</c:v>
                </c:pt>
                <c:pt idx="96">
                  <c:v>3.6</c:v>
                </c:pt>
                <c:pt idx="97">
                  <c:v>3.5</c:v>
                </c:pt>
                <c:pt idx="98">
                  <c:v>3.6</c:v>
                </c:pt>
                <c:pt idx="99">
                  <c:v>3.6</c:v>
                </c:pt>
                <c:pt idx="100">
                  <c:v>3.5</c:v>
                </c:pt>
                <c:pt idx="101">
                  <c:v>3.5</c:v>
                </c:pt>
                <c:pt idx="102">
                  <c:v>3.6</c:v>
                </c:pt>
                <c:pt idx="103">
                  <c:v>3.6</c:v>
                </c:pt>
                <c:pt idx="104">
                  <c:v>3.5</c:v>
                </c:pt>
                <c:pt idx="105">
                  <c:v>3.5</c:v>
                </c:pt>
                <c:pt idx="106">
                  <c:v>3.4</c:v>
                </c:pt>
                <c:pt idx="107">
                  <c:v>3.5</c:v>
                </c:pt>
                <c:pt idx="108">
                  <c:v>3.5</c:v>
                </c:pt>
                <c:pt idx="109">
                  <c:v>3.5</c:v>
                </c:pt>
                <c:pt idx="110">
                  <c:v>3.4</c:v>
                </c:pt>
                <c:pt idx="111">
                  <c:v>3.4</c:v>
                </c:pt>
                <c:pt idx="112">
                  <c:v>3.4</c:v>
                </c:pt>
                <c:pt idx="113">
                  <c:v>3.5</c:v>
                </c:pt>
                <c:pt idx="114">
                  <c:v>3.4</c:v>
                </c:pt>
                <c:pt idx="115">
                  <c:v>3.5</c:v>
                </c:pt>
                <c:pt idx="116">
                  <c:v>3.4</c:v>
                </c:pt>
                <c:pt idx="117">
                  <c:v>3.4</c:v>
                </c:pt>
                <c:pt idx="118">
                  <c:v>3.5</c:v>
                </c:pt>
                <c:pt idx="119">
                  <c:v>3.3</c:v>
                </c:pt>
                <c:pt idx="120">
                  <c:v>3.4</c:v>
                </c:pt>
                <c:pt idx="121">
                  <c:v>3.3</c:v>
                </c:pt>
                <c:pt idx="122">
                  <c:v>3.4</c:v>
                </c:pt>
                <c:pt idx="123">
                  <c:v>3.4</c:v>
                </c:pt>
                <c:pt idx="124">
                  <c:v>3.4</c:v>
                </c:pt>
                <c:pt idx="125">
                  <c:v>3.3</c:v>
                </c:pt>
                <c:pt idx="126">
                  <c:v>3.4</c:v>
                </c:pt>
                <c:pt idx="127">
                  <c:v>3.4</c:v>
                </c:pt>
                <c:pt idx="128">
                  <c:v>3.4</c:v>
                </c:pt>
                <c:pt idx="129">
                  <c:v>3.4</c:v>
                </c:pt>
                <c:pt idx="130">
                  <c:v>3.4</c:v>
                </c:pt>
                <c:pt idx="131">
                  <c:v>3.4</c:v>
                </c:pt>
                <c:pt idx="132">
                  <c:v>3.4</c:v>
                </c:pt>
                <c:pt idx="133">
                  <c:v>3.5</c:v>
                </c:pt>
                <c:pt idx="134">
                  <c:v>3.4</c:v>
                </c:pt>
                <c:pt idx="135">
                  <c:v>3.4</c:v>
                </c:pt>
                <c:pt idx="136">
                  <c:v>3.5</c:v>
                </c:pt>
                <c:pt idx="137">
                  <c:v>3.4</c:v>
                </c:pt>
                <c:pt idx="138">
                  <c:v>3.4</c:v>
                </c:pt>
                <c:pt idx="139">
                  <c:v>3.3</c:v>
                </c:pt>
                <c:pt idx="140">
                  <c:v>3.3</c:v>
                </c:pt>
                <c:pt idx="141">
                  <c:v>3.4</c:v>
                </c:pt>
                <c:pt idx="142">
                  <c:v>3.4</c:v>
                </c:pt>
                <c:pt idx="143">
                  <c:v>3.4</c:v>
                </c:pt>
                <c:pt idx="144">
                  <c:v>3.4</c:v>
                </c:pt>
                <c:pt idx="145">
                  <c:v>3.4</c:v>
                </c:pt>
                <c:pt idx="146">
                  <c:v>3.4</c:v>
                </c:pt>
                <c:pt idx="147">
                  <c:v>3.4</c:v>
                </c:pt>
                <c:pt idx="148">
                  <c:v>3.4</c:v>
                </c:pt>
                <c:pt idx="149">
                  <c:v>3.4</c:v>
                </c:pt>
                <c:pt idx="150">
                  <c:v>3.4</c:v>
                </c:pt>
                <c:pt idx="151">
                  <c:v>3.3</c:v>
                </c:pt>
                <c:pt idx="152">
                  <c:v>3.3</c:v>
                </c:pt>
                <c:pt idx="153">
                  <c:v>3.3</c:v>
                </c:pt>
                <c:pt idx="154">
                  <c:v>3.3</c:v>
                </c:pt>
                <c:pt idx="155">
                  <c:v>3.3</c:v>
                </c:pt>
                <c:pt idx="156">
                  <c:v>3.3</c:v>
                </c:pt>
                <c:pt idx="157">
                  <c:v>3.3</c:v>
                </c:pt>
                <c:pt idx="158">
                  <c:v>3.3</c:v>
                </c:pt>
                <c:pt idx="159">
                  <c:v>3.4</c:v>
                </c:pt>
                <c:pt idx="160">
                  <c:v>3.4</c:v>
                </c:pt>
                <c:pt idx="161">
                  <c:v>3.4</c:v>
                </c:pt>
                <c:pt idx="162">
                  <c:v>3.3</c:v>
                </c:pt>
                <c:pt idx="163">
                  <c:v>3.3</c:v>
                </c:pt>
                <c:pt idx="164">
                  <c:v>3.4</c:v>
                </c:pt>
                <c:pt idx="165">
                  <c:v>3.4</c:v>
                </c:pt>
                <c:pt idx="166">
                  <c:v>3.4</c:v>
                </c:pt>
                <c:pt idx="167">
                  <c:v>3.3</c:v>
                </c:pt>
                <c:pt idx="168">
                  <c:v>3.4</c:v>
                </c:pt>
                <c:pt idx="169">
                  <c:v>3.3</c:v>
                </c:pt>
                <c:pt idx="170">
                  <c:v>3.4</c:v>
                </c:pt>
                <c:pt idx="171">
                  <c:v>3.3</c:v>
                </c:pt>
                <c:pt idx="172">
                  <c:v>3.3</c:v>
                </c:pt>
                <c:pt idx="173">
                  <c:v>3.3</c:v>
                </c:pt>
                <c:pt idx="174">
                  <c:v>3.3</c:v>
                </c:pt>
                <c:pt idx="175">
                  <c:v>3.2</c:v>
                </c:pt>
                <c:pt idx="176">
                  <c:v>3.3</c:v>
                </c:pt>
                <c:pt idx="177">
                  <c:v>3.3</c:v>
                </c:pt>
                <c:pt idx="178">
                  <c:v>3.4</c:v>
                </c:pt>
                <c:pt idx="179">
                  <c:v>3.3</c:v>
                </c:pt>
                <c:pt idx="180">
                  <c:v>3.3</c:v>
                </c:pt>
                <c:pt idx="181">
                  <c:v>3.4</c:v>
                </c:pt>
                <c:pt idx="182">
                  <c:v>3.3</c:v>
                </c:pt>
                <c:pt idx="183">
                  <c:v>3.3</c:v>
                </c:pt>
                <c:pt idx="184">
                  <c:v>3.3</c:v>
                </c:pt>
                <c:pt idx="185">
                  <c:v>3.2</c:v>
                </c:pt>
                <c:pt idx="186">
                  <c:v>3.2</c:v>
                </c:pt>
                <c:pt idx="187">
                  <c:v>3.3</c:v>
                </c:pt>
                <c:pt idx="188">
                  <c:v>3.3</c:v>
                </c:pt>
                <c:pt idx="189">
                  <c:v>3.2</c:v>
                </c:pt>
                <c:pt idx="190">
                  <c:v>3.2</c:v>
                </c:pt>
                <c:pt idx="191">
                  <c:v>3.2</c:v>
                </c:pt>
                <c:pt idx="192">
                  <c:v>3.2</c:v>
                </c:pt>
                <c:pt idx="193">
                  <c:v>3.2</c:v>
                </c:pt>
                <c:pt idx="194">
                  <c:v>3.2</c:v>
                </c:pt>
                <c:pt idx="195">
                  <c:v>3.2</c:v>
                </c:pt>
                <c:pt idx="196">
                  <c:v>3.3</c:v>
                </c:pt>
                <c:pt idx="197">
                  <c:v>3.3</c:v>
                </c:pt>
                <c:pt idx="198">
                  <c:v>3.3</c:v>
                </c:pt>
                <c:pt idx="199">
                  <c:v>3.2</c:v>
                </c:pt>
                <c:pt idx="200">
                  <c:v>3.2</c:v>
                </c:pt>
                <c:pt idx="201">
                  <c:v>3.1</c:v>
                </c:pt>
                <c:pt idx="202">
                  <c:v>3.3</c:v>
                </c:pt>
                <c:pt idx="203">
                  <c:v>3.2</c:v>
                </c:pt>
                <c:pt idx="204">
                  <c:v>3.2</c:v>
                </c:pt>
                <c:pt idx="205">
                  <c:v>3.2</c:v>
                </c:pt>
                <c:pt idx="206">
                  <c:v>3.2</c:v>
                </c:pt>
                <c:pt idx="207">
                  <c:v>3.2</c:v>
                </c:pt>
                <c:pt idx="208">
                  <c:v>3.2</c:v>
                </c:pt>
                <c:pt idx="209">
                  <c:v>3.2</c:v>
                </c:pt>
                <c:pt idx="210">
                  <c:v>3.2</c:v>
                </c:pt>
                <c:pt idx="211">
                  <c:v>3.2</c:v>
                </c:pt>
                <c:pt idx="212">
                  <c:v>3.2</c:v>
                </c:pt>
                <c:pt idx="213">
                  <c:v>3.1</c:v>
                </c:pt>
                <c:pt idx="214">
                  <c:v>3.2</c:v>
                </c:pt>
                <c:pt idx="215">
                  <c:v>3.2</c:v>
                </c:pt>
                <c:pt idx="216">
                  <c:v>3.2</c:v>
                </c:pt>
                <c:pt idx="217">
                  <c:v>3.1</c:v>
                </c:pt>
                <c:pt idx="218">
                  <c:v>3.2</c:v>
                </c:pt>
                <c:pt idx="219">
                  <c:v>3.2</c:v>
                </c:pt>
                <c:pt idx="220">
                  <c:v>3.2</c:v>
                </c:pt>
                <c:pt idx="221">
                  <c:v>3.2</c:v>
                </c:pt>
                <c:pt idx="222">
                  <c:v>3.1</c:v>
                </c:pt>
                <c:pt idx="223">
                  <c:v>3.1</c:v>
                </c:pt>
                <c:pt idx="224">
                  <c:v>3.2</c:v>
                </c:pt>
                <c:pt idx="225">
                  <c:v>3.2</c:v>
                </c:pt>
                <c:pt idx="226">
                  <c:v>3.3</c:v>
                </c:pt>
                <c:pt idx="227">
                  <c:v>3.2</c:v>
                </c:pt>
                <c:pt idx="228">
                  <c:v>3.2</c:v>
                </c:pt>
                <c:pt idx="229">
                  <c:v>3.2</c:v>
                </c:pt>
                <c:pt idx="230">
                  <c:v>3.2</c:v>
                </c:pt>
                <c:pt idx="231">
                  <c:v>3.2</c:v>
                </c:pt>
                <c:pt idx="232">
                  <c:v>3.2</c:v>
                </c:pt>
                <c:pt idx="233">
                  <c:v>3.2</c:v>
                </c:pt>
                <c:pt idx="234">
                  <c:v>3.2</c:v>
                </c:pt>
                <c:pt idx="235">
                  <c:v>3.2</c:v>
                </c:pt>
                <c:pt idx="236">
                  <c:v>3.2</c:v>
                </c:pt>
                <c:pt idx="237">
                  <c:v>3.2</c:v>
                </c:pt>
                <c:pt idx="238">
                  <c:v>3.2</c:v>
                </c:pt>
                <c:pt idx="239">
                  <c:v>3.2</c:v>
                </c:pt>
                <c:pt idx="240">
                  <c:v>3.2</c:v>
                </c:pt>
                <c:pt idx="241">
                  <c:v>3.1</c:v>
                </c:pt>
                <c:pt idx="242">
                  <c:v>3.1</c:v>
                </c:pt>
                <c:pt idx="243">
                  <c:v>3.1</c:v>
                </c:pt>
                <c:pt idx="244">
                  <c:v>3.1</c:v>
                </c:pt>
                <c:pt idx="245">
                  <c:v>3.2</c:v>
                </c:pt>
                <c:pt idx="246">
                  <c:v>3.2</c:v>
                </c:pt>
                <c:pt idx="247">
                  <c:v>3.2</c:v>
                </c:pt>
                <c:pt idx="248">
                  <c:v>3.1</c:v>
                </c:pt>
                <c:pt idx="249">
                  <c:v>3.1</c:v>
                </c:pt>
                <c:pt idx="250">
                  <c:v>3.2</c:v>
                </c:pt>
                <c:pt idx="251">
                  <c:v>3.2</c:v>
                </c:pt>
                <c:pt idx="252">
                  <c:v>3.2</c:v>
                </c:pt>
                <c:pt idx="253">
                  <c:v>3.1</c:v>
                </c:pt>
                <c:pt idx="254">
                  <c:v>3.1</c:v>
                </c:pt>
                <c:pt idx="255">
                  <c:v>3.1</c:v>
                </c:pt>
                <c:pt idx="256">
                  <c:v>3.1</c:v>
                </c:pt>
                <c:pt idx="257">
                  <c:v>3.1</c:v>
                </c:pt>
                <c:pt idx="258">
                  <c:v>3.1</c:v>
                </c:pt>
                <c:pt idx="259">
                  <c:v>3.1</c:v>
                </c:pt>
                <c:pt idx="260">
                  <c:v>3.1</c:v>
                </c:pt>
                <c:pt idx="261">
                  <c:v>3.1</c:v>
                </c:pt>
                <c:pt idx="262">
                  <c:v>3.2</c:v>
                </c:pt>
                <c:pt idx="263">
                  <c:v>3.2</c:v>
                </c:pt>
                <c:pt idx="264">
                  <c:v>3.2</c:v>
                </c:pt>
                <c:pt idx="265">
                  <c:v>3.1</c:v>
                </c:pt>
                <c:pt idx="266">
                  <c:v>3.2</c:v>
                </c:pt>
                <c:pt idx="267">
                  <c:v>3.2</c:v>
                </c:pt>
                <c:pt idx="268">
                  <c:v>3.1</c:v>
                </c:pt>
                <c:pt idx="269">
                  <c:v>3.1</c:v>
                </c:pt>
                <c:pt idx="270">
                  <c:v>3.1</c:v>
                </c:pt>
                <c:pt idx="271">
                  <c:v>3.2</c:v>
                </c:pt>
                <c:pt idx="272">
                  <c:v>3.2</c:v>
                </c:pt>
                <c:pt idx="273">
                  <c:v>3.2</c:v>
                </c:pt>
                <c:pt idx="274">
                  <c:v>3.2</c:v>
                </c:pt>
                <c:pt idx="275">
                  <c:v>3.1</c:v>
                </c:pt>
                <c:pt idx="276">
                  <c:v>3.1</c:v>
                </c:pt>
                <c:pt idx="277">
                  <c:v>3.2</c:v>
                </c:pt>
                <c:pt idx="278">
                  <c:v>3.1</c:v>
                </c:pt>
                <c:pt idx="279">
                  <c:v>3.2</c:v>
                </c:pt>
                <c:pt idx="280">
                  <c:v>3.2</c:v>
                </c:pt>
                <c:pt idx="281">
                  <c:v>3.1</c:v>
                </c:pt>
                <c:pt idx="282">
                  <c:v>3.2</c:v>
                </c:pt>
                <c:pt idx="283">
                  <c:v>3.2</c:v>
                </c:pt>
                <c:pt idx="284">
                  <c:v>3.1</c:v>
                </c:pt>
                <c:pt idx="285">
                  <c:v>3.1</c:v>
                </c:pt>
                <c:pt idx="286">
                  <c:v>3</c:v>
                </c:pt>
                <c:pt idx="287">
                  <c:v>3.1</c:v>
                </c:pt>
                <c:pt idx="288">
                  <c:v>3.1</c:v>
                </c:pt>
                <c:pt idx="289">
                  <c:v>3.1</c:v>
                </c:pt>
                <c:pt idx="290">
                  <c:v>3.2</c:v>
                </c:pt>
                <c:pt idx="291">
                  <c:v>3.1</c:v>
                </c:pt>
                <c:pt idx="292">
                  <c:v>3.1</c:v>
                </c:pt>
                <c:pt idx="293">
                  <c:v>3.1</c:v>
                </c:pt>
                <c:pt idx="294">
                  <c:v>3</c:v>
                </c:pt>
                <c:pt idx="295">
                  <c:v>3.1</c:v>
                </c:pt>
                <c:pt idx="296">
                  <c:v>3.2</c:v>
                </c:pt>
                <c:pt idx="297">
                  <c:v>3.1</c:v>
                </c:pt>
                <c:pt idx="298">
                  <c:v>3.1</c:v>
                </c:pt>
                <c:pt idx="299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E3-4D0F-BF8C-79E7E47B8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465423"/>
        <c:axId val="743464463"/>
      </c:scatterChart>
      <c:valAx>
        <c:axId val="7434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4463"/>
        <c:crosses val="autoZero"/>
        <c:crossBetween val="midCat"/>
      </c:valAx>
      <c:valAx>
        <c:axId val="7434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'Test 2'!$A$2:$A$301</c:f>
              <c:numCache>
                <c:formatCode>General</c:formatCode>
                <c:ptCount val="3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numCache>
            </c:numRef>
          </c:xVal>
          <c:yVal>
            <c:numRef>
              <c:f>'Test 2'!$D$2:$D$301</c:f>
              <c:numCache>
                <c:formatCode>General</c:formatCode>
                <c:ptCount val="300"/>
                <c:pt idx="0">
                  <c:v>-5.521460917862246</c:v>
                </c:pt>
                <c:pt idx="1">
                  <c:v>-5.521460917862246</c:v>
                </c:pt>
                <c:pt idx="2">
                  <c:v>-5.521460917862246</c:v>
                </c:pt>
                <c:pt idx="3">
                  <c:v>-5.521460917862246</c:v>
                </c:pt>
                <c:pt idx="4">
                  <c:v>-5.521460917862246</c:v>
                </c:pt>
                <c:pt idx="5">
                  <c:v>-5.5467787258465364</c:v>
                </c:pt>
                <c:pt idx="6">
                  <c:v>-5.5467787258465364</c:v>
                </c:pt>
                <c:pt idx="7">
                  <c:v>-5.521460917862246</c:v>
                </c:pt>
                <c:pt idx="8">
                  <c:v>-5.5467787258465364</c:v>
                </c:pt>
                <c:pt idx="9">
                  <c:v>-5.5467787258465364</c:v>
                </c:pt>
                <c:pt idx="10">
                  <c:v>-5.5467787258465364</c:v>
                </c:pt>
                <c:pt idx="11">
                  <c:v>-5.5467787258465364</c:v>
                </c:pt>
                <c:pt idx="12">
                  <c:v>-5.521460917862246</c:v>
                </c:pt>
                <c:pt idx="13">
                  <c:v>-5.5467787258465364</c:v>
                </c:pt>
                <c:pt idx="14">
                  <c:v>-5.5467787258465364</c:v>
                </c:pt>
                <c:pt idx="15">
                  <c:v>-5.5467787258465364</c:v>
                </c:pt>
                <c:pt idx="16">
                  <c:v>-5.521460917862246</c:v>
                </c:pt>
                <c:pt idx="17">
                  <c:v>-5.5467787258465364</c:v>
                </c:pt>
                <c:pt idx="18">
                  <c:v>-5.5467787258465364</c:v>
                </c:pt>
                <c:pt idx="19">
                  <c:v>-5.5467787258465364</c:v>
                </c:pt>
                <c:pt idx="20">
                  <c:v>-5.5467787258465364</c:v>
                </c:pt>
                <c:pt idx="21">
                  <c:v>-5.5467787258465364</c:v>
                </c:pt>
                <c:pt idx="22">
                  <c:v>-5.5727542122497971</c:v>
                </c:pt>
                <c:pt idx="23">
                  <c:v>-5.5727542122497971</c:v>
                </c:pt>
                <c:pt idx="24">
                  <c:v>-5.5727542122497971</c:v>
                </c:pt>
                <c:pt idx="25">
                  <c:v>-5.5467787258465364</c:v>
                </c:pt>
                <c:pt idx="26">
                  <c:v>-5.5727542122497971</c:v>
                </c:pt>
                <c:pt idx="27">
                  <c:v>-5.5727542122497971</c:v>
                </c:pt>
                <c:pt idx="28">
                  <c:v>-5.5467787258465364</c:v>
                </c:pt>
                <c:pt idx="29">
                  <c:v>-5.5467787258465364</c:v>
                </c:pt>
                <c:pt idx="30">
                  <c:v>-5.5467787258465364</c:v>
                </c:pt>
                <c:pt idx="31">
                  <c:v>-5.5467787258465364</c:v>
                </c:pt>
                <c:pt idx="32">
                  <c:v>-5.5467787258465364</c:v>
                </c:pt>
                <c:pt idx="33">
                  <c:v>-5.5467787258465364</c:v>
                </c:pt>
                <c:pt idx="34">
                  <c:v>-5.5467787258465364</c:v>
                </c:pt>
                <c:pt idx="35">
                  <c:v>-5.5467787258465364</c:v>
                </c:pt>
                <c:pt idx="36">
                  <c:v>-5.5727542122497971</c:v>
                </c:pt>
                <c:pt idx="37">
                  <c:v>-5.5727542122497971</c:v>
                </c:pt>
                <c:pt idx="38">
                  <c:v>-5.5727542122497971</c:v>
                </c:pt>
                <c:pt idx="39">
                  <c:v>-5.5727542122497971</c:v>
                </c:pt>
                <c:pt idx="40">
                  <c:v>-5.5727542122497971</c:v>
                </c:pt>
                <c:pt idx="41">
                  <c:v>-5.5727542122497971</c:v>
                </c:pt>
                <c:pt idx="42">
                  <c:v>-5.5727542122497971</c:v>
                </c:pt>
                <c:pt idx="43">
                  <c:v>-5.5727542122497971</c:v>
                </c:pt>
                <c:pt idx="44">
                  <c:v>-5.5727542122497971</c:v>
                </c:pt>
                <c:pt idx="45">
                  <c:v>-5.5994224593319579</c:v>
                </c:pt>
                <c:pt idx="46">
                  <c:v>-5.5727542122497971</c:v>
                </c:pt>
                <c:pt idx="47">
                  <c:v>-5.5994224593319579</c:v>
                </c:pt>
                <c:pt idx="48">
                  <c:v>-5.5994224593319579</c:v>
                </c:pt>
                <c:pt idx="49">
                  <c:v>-5.5727542122497971</c:v>
                </c:pt>
                <c:pt idx="50">
                  <c:v>-5.5994224593319579</c:v>
                </c:pt>
                <c:pt idx="51">
                  <c:v>-5.5994224593319579</c:v>
                </c:pt>
                <c:pt idx="52">
                  <c:v>-5.5994224593319579</c:v>
                </c:pt>
                <c:pt idx="53">
                  <c:v>-5.5994224593319579</c:v>
                </c:pt>
                <c:pt idx="54">
                  <c:v>-5.5994224593319579</c:v>
                </c:pt>
                <c:pt idx="55">
                  <c:v>-5.5994224593319579</c:v>
                </c:pt>
                <c:pt idx="56">
                  <c:v>-5.5994224593319579</c:v>
                </c:pt>
                <c:pt idx="57">
                  <c:v>-5.5994224593319579</c:v>
                </c:pt>
                <c:pt idx="58">
                  <c:v>-5.5994224593319579</c:v>
                </c:pt>
                <c:pt idx="59">
                  <c:v>-5.5994224593319579</c:v>
                </c:pt>
                <c:pt idx="60">
                  <c:v>-5.5994224593319579</c:v>
                </c:pt>
                <c:pt idx="61">
                  <c:v>-5.6268214335200728</c:v>
                </c:pt>
                <c:pt idx="62">
                  <c:v>-5.5994224593319579</c:v>
                </c:pt>
                <c:pt idx="63">
                  <c:v>-5.5994224593319579</c:v>
                </c:pt>
                <c:pt idx="64">
                  <c:v>-5.5994224593319579</c:v>
                </c:pt>
                <c:pt idx="65">
                  <c:v>-5.6268214335200728</c:v>
                </c:pt>
                <c:pt idx="66">
                  <c:v>-5.5994224593319579</c:v>
                </c:pt>
                <c:pt idx="67">
                  <c:v>-5.6268214335200728</c:v>
                </c:pt>
                <c:pt idx="68">
                  <c:v>-5.6268214335200728</c:v>
                </c:pt>
                <c:pt idx="69">
                  <c:v>-5.6268214335200728</c:v>
                </c:pt>
                <c:pt idx="70">
                  <c:v>-5.6268214335200728</c:v>
                </c:pt>
                <c:pt idx="71">
                  <c:v>-5.6268214335200728</c:v>
                </c:pt>
                <c:pt idx="72">
                  <c:v>-5.6268214335200728</c:v>
                </c:pt>
                <c:pt idx="73">
                  <c:v>-5.6268214335200728</c:v>
                </c:pt>
                <c:pt idx="74">
                  <c:v>-5.6268214335200728</c:v>
                </c:pt>
                <c:pt idx="75">
                  <c:v>-5.6268214335200728</c:v>
                </c:pt>
                <c:pt idx="76">
                  <c:v>-5.6268214335200728</c:v>
                </c:pt>
                <c:pt idx="77">
                  <c:v>-5.6268214335200728</c:v>
                </c:pt>
                <c:pt idx="78">
                  <c:v>-5.6268214335200728</c:v>
                </c:pt>
                <c:pt idx="79">
                  <c:v>-5.6268214335200728</c:v>
                </c:pt>
                <c:pt idx="80">
                  <c:v>-5.6549923104867688</c:v>
                </c:pt>
                <c:pt idx="81">
                  <c:v>-5.6549923104867688</c:v>
                </c:pt>
                <c:pt idx="82">
                  <c:v>-5.6268214335200728</c:v>
                </c:pt>
                <c:pt idx="83">
                  <c:v>-5.6268214335200728</c:v>
                </c:pt>
                <c:pt idx="84">
                  <c:v>-5.6549923104867688</c:v>
                </c:pt>
                <c:pt idx="85">
                  <c:v>-5.6549923104867688</c:v>
                </c:pt>
                <c:pt idx="86">
                  <c:v>-5.6549923104867688</c:v>
                </c:pt>
                <c:pt idx="87">
                  <c:v>-5.6268214335200728</c:v>
                </c:pt>
                <c:pt idx="88">
                  <c:v>-5.6549923104867688</c:v>
                </c:pt>
                <c:pt idx="89">
                  <c:v>-5.6549923104867688</c:v>
                </c:pt>
                <c:pt idx="90">
                  <c:v>-5.6549923104867688</c:v>
                </c:pt>
                <c:pt idx="91">
                  <c:v>-5.6549923104867688</c:v>
                </c:pt>
                <c:pt idx="92">
                  <c:v>-5.6549923104867688</c:v>
                </c:pt>
                <c:pt idx="93">
                  <c:v>-5.6549923104867688</c:v>
                </c:pt>
                <c:pt idx="94">
                  <c:v>-5.6268214335200728</c:v>
                </c:pt>
                <c:pt idx="95">
                  <c:v>-5.6268214335200728</c:v>
                </c:pt>
                <c:pt idx="96">
                  <c:v>-5.6268214335200728</c:v>
                </c:pt>
                <c:pt idx="97">
                  <c:v>-5.6549923104867688</c:v>
                </c:pt>
                <c:pt idx="98">
                  <c:v>-5.6268214335200728</c:v>
                </c:pt>
                <c:pt idx="99">
                  <c:v>-5.6268214335200728</c:v>
                </c:pt>
                <c:pt idx="100">
                  <c:v>-5.6549923104867688</c:v>
                </c:pt>
                <c:pt idx="101">
                  <c:v>-5.6549923104867688</c:v>
                </c:pt>
                <c:pt idx="102">
                  <c:v>-5.6268214335200728</c:v>
                </c:pt>
                <c:pt idx="103">
                  <c:v>-5.6268214335200728</c:v>
                </c:pt>
                <c:pt idx="104">
                  <c:v>-5.6549923104867688</c:v>
                </c:pt>
                <c:pt idx="105">
                  <c:v>-5.6549923104867688</c:v>
                </c:pt>
                <c:pt idx="106">
                  <c:v>-5.6839798473600212</c:v>
                </c:pt>
                <c:pt idx="107">
                  <c:v>-5.6549923104867688</c:v>
                </c:pt>
                <c:pt idx="108">
                  <c:v>-5.6549923104867688</c:v>
                </c:pt>
                <c:pt idx="109">
                  <c:v>-5.6549923104867688</c:v>
                </c:pt>
                <c:pt idx="110">
                  <c:v>-5.6839798473600212</c:v>
                </c:pt>
                <c:pt idx="111">
                  <c:v>-5.6839798473600212</c:v>
                </c:pt>
                <c:pt idx="112">
                  <c:v>-5.6839798473600212</c:v>
                </c:pt>
                <c:pt idx="113">
                  <c:v>-5.6549923104867688</c:v>
                </c:pt>
                <c:pt idx="114">
                  <c:v>-5.6839798473600212</c:v>
                </c:pt>
                <c:pt idx="115">
                  <c:v>-5.6549923104867688</c:v>
                </c:pt>
                <c:pt idx="116">
                  <c:v>-5.6839798473600212</c:v>
                </c:pt>
                <c:pt idx="117">
                  <c:v>-5.6839798473600212</c:v>
                </c:pt>
                <c:pt idx="118">
                  <c:v>-5.6549923104867688</c:v>
                </c:pt>
                <c:pt idx="119">
                  <c:v>-5.7138328105097029</c:v>
                </c:pt>
                <c:pt idx="120">
                  <c:v>-5.6839798473600212</c:v>
                </c:pt>
                <c:pt idx="121">
                  <c:v>-5.7138328105097029</c:v>
                </c:pt>
                <c:pt idx="122">
                  <c:v>-5.6839798473600212</c:v>
                </c:pt>
                <c:pt idx="123">
                  <c:v>-5.6839798473600212</c:v>
                </c:pt>
                <c:pt idx="124">
                  <c:v>-5.6839798473600212</c:v>
                </c:pt>
                <c:pt idx="125">
                  <c:v>-5.7138328105097029</c:v>
                </c:pt>
                <c:pt idx="126">
                  <c:v>-5.6839798473600212</c:v>
                </c:pt>
                <c:pt idx="127">
                  <c:v>-5.6839798473600212</c:v>
                </c:pt>
                <c:pt idx="128">
                  <c:v>-5.6839798473600212</c:v>
                </c:pt>
                <c:pt idx="129">
                  <c:v>-5.6839798473600212</c:v>
                </c:pt>
                <c:pt idx="130">
                  <c:v>-5.6839798473600212</c:v>
                </c:pt>
                <c:pt idx="131">
                  <c:v>-5.6839798473600212</c:v>
                </c:pt>
                <c:pt idx="132">
                  <c:v>-5.6839798473600212</c:v>
                </c:pt>
                <c:pt idx="133">
                  <c:v>-5.6549923104867688</c:v>
                </c:pt>
                <c:pt idx="134">
                  <c:v>-5.6839798473600212</c:v>
                </c:pt>
                <c:pt idx="135">
                  <c:v>-5.6839798473600212</c:v>
                </c:pt>
                <c:pt idx="136">
                  <c:v>-5.6549923104867688</c:v>
                </c:pt>
                <c:pt idx="137">
                  <c:v>-5.6839798473600212</c:v>
                </c:pt>
                <c:pt idx="138">
                  <c:v>-5.6839798473600212</c:v>
                </c:pt>
                <c:pt idx="139">
                  <c:v>-5.7138328105097029</c:v>
                </c:pt>
                <c:pt idx="140">
                  <c:v>-5.7138328105097029</c:v>
                </c:pt>
                <c:pt idx="141">
                  <c:v>-5.6839798473600212</c:v>
                </c:pt>
                <c:pt idx="142">
                  <c:v>-5.6839798473600212</c:v>
                </c:pt>
                <c:pt idx="143">
                  <c:v>-5.6839798473600212</c:v>
                </c:pt>
                <c:pt idx="144">
                  <c:v>-5.6839798473600212</c:v>
                </c:pt>
                <c:pt idx="145">
                  <c:v>-5.6839798473600212</c:v>
                </c:pt>
                <c:pt idx="146">
                  <c:v>-5.6839798473600212</c:v>
                </c:pt>
                <c:pt idx="147">
                  <c:v>-5.6839798473600212</c:v>
                </c:pt>
                <c:pt idx="148">
                  <c:v>-5.6839798473600212</c:v>
                </c:pt>
                <c:pt idx="149">
                  <c:v>-5.6839798473600212</c:v>
                </c:pt>
                <c:pt idx="150">
                  <c:v>-5.6839798473600212</c:v>
                </c:pt>
                <c:pt idx="151">
                  <c:v>-5.7138328105097029</c:v>
                </c:pt>
                <c:pt idx="152">
                  <c:v>-5.7138328105097029</c:v>
                </c:pt>
                <c:pt idx="153">
                  <c:v>-5.7138328105097029</c:v>
                </c:pt>
                <c:pt idx="154">
                  <c:v>-5.7138328105097029</c:v>
                </c:pt>
                <c:pt idx="155">
                  <c:v>-5.7138328105097029</c:v>
                </c:pt>
                <c:pt idx="156">
                  <c:v>-5.7138328105097029</c:v>
                </c:pt>
                <c:pt idx="157">
                  <c:v>-5.7138328105097029</c:v>
                </c:pt>
                <c:pt idx="158">
                  <c:v>-5.7138328105097029</c:v>
                </c:pt>
                <c:pt idx="159">
                  <c:v>-5.6839798473600212</c:v>
                </c:pt>
                <c:pt idx="160">
                  <c:v>-5.6839798473600212</c:v>
                </c:pt>
                <c:pt idx="161">
                  <c:v>-5.6839798473600212</c:v>
                </c:pt>
                <c:pt idx="162">
                  <c:v>-5.7138328105097029</c:v>
                </c:pt>
                <c:pt idx="163">
                  <c:v>-5.7138328105097029</c:v>
                </c:pt>
                <c:pt idx="164">
                  <c:v>-5.6839798473600212</c:v>
                </c:pt>
                <c:pt idx="165">
                  <c:v>-5.6839798473600212</c:v>
                </c:pt>
                <c:pt idx="166">
                  <c:v>-5.6839798473600212</c:v>
                </c:pt>
                <c:pt idx="167">
                  <c:v>-5.7138328105097029</c:v>
                </c:pt>
                <c:pt idx="168">
                  <c:v>-5.6839798473600212</c:v>
                </c:pt>
                <c:pt idx="169">
                  <c:v>-5.7138328105097029</c:v>
                </c:pt>
                <c:pt idx="170">
                  <c:v>-5.6839798473600212</c:v>
                </c:pt>
                <c:pt idx="171">
                  <c:v>-5.7138328105097029</c:v>
                </c:pt>
                <c:pt idx="172">
                  <c:v>-5.7138328105097029</c:v>
                </c:pt>
                <c:pt idx="173">
                  <c:v>-5.7138328105097029</c:v>
                </c:pt>
                <c:pt idx="174">
                  <c:v>-5.7138328105097029</c:v>
                </c:pt>
                <c:pt idx="175">
                  <c:v>-5.7446044691764557</c:v>
                </c:pt>
                <c:pt idx="176">
                  <c:v>-5.7138328105097029</c:v>
                </c:pt>
                <c:pt idx="177">
                  <c:v>-5.7138328105097029</c:v>
                </c:pt>
                <c:pt idx="178">
                  <c:v>-5.6839798473600212</c:v>
                </c:pt>
                <c:pt idx="179">
                  <c:v>-5.7138328105097029</c:v>
                </c:pt>
                <c:pt idx="180">
                  <c:v>-5.7138328105097029</c:v>
                </c:pt>
                <c:pt idx="181">
                  <c:v>-5.6839798473600212</c:v>
                </c:pt>
                <c:pt idx="182">
                  <c:v>-5.7138328105097029</c:v>
                </c:pt>
                <c:pt idx="183">
                  <c:v>-5.7138328105097029</c:v>
                </c:pt>
                <c:pt idx="184">
                  <c:v>-5.7138328105097029</c:v>
                </c:pt>
                <c:pt idx="185">
                  <c:v>-5.7446044691764557</c:v>
                </c:pt>
                <c:pt idx="186">
                  <c:v>-5.7446044691764557</c:v>
                </c:pt>
                <c:pt idx="187">
                  <c:v>-5.7138328105097029</c:v>
                </c:pt>
                <c:pt idx="188">
                  <c:v>-5.7138328105097029</c:v>
                </c:pt>
                <c:pt idx="189">
                  <c:v>-5.7446044691764557</c:v>
                </c:pt>
                <c:pt idx="190">
                  <c:v>-5.7446044691764557</c:v>
                </c:pt>
                <c:pt idx="191">
                  <c:v>-5.7446044691764557</c:v>
                </c:pt>
                <c:pt idx="192">
                  <c:v>-5.7446044691764557</c:v>
                </c:pt>
                <c:pt idx="193">
                  <c:v>-5.7446044691764557</c:v>
                </c:pt>
                <c:pt idx="194">
                  <c:v>-5.7446044691764557</c:v>
                </c:pt>
                <c:pt idx="195">
                  <c:v>-5.7446044691764557</c:v>
                </c:pt>
                <c:pt idx="196">
                  <c:v>-5.7138328105097029</c:v>
                </c:pt>
                <c:pt idx="197">
                  <c:v>-5.7138328105097029</c:v>
                </c:pt>
                <c:pt idx="198">
                  <c:v>-5.7138328105097029</c:v>
                </c:pt>
                <c:pt idx="199">
                  <c:v>-5.7446044691764557</c:v>
                </c:pt>
                <c:pt idx="200">
                  <c:v>-5.7446044691764557</c:v>
                </c:pt>
                <c:pt idx="201">
                  <c:v>-5.7763531674910364</c:v>
                </c:pt>
                <c:pt idx="202">
                  <c:v>-5.7138328105097029</c:v>
                </c:pt>
                <c:pt idx="203">
                  <c:v>-5.7446044691764557</c:v>
                </c:pt>
                <c:pt idx="204">
                  <c:v>-5.7446044691764557</c:v>
                </c:pt>
                <c:pt idx="205">
                  <c:v>-5.7446044691764557</c:v>
                </c:pt>
                <c:pt idx="206">
                  <c:v>-5.7446044691764557</c:v>
                </c:pt>
                <c:pt idx="207">
                  <c:v>-5.7446044691764557</c:v>
                </c:pt>
                <c:pt idx="208">
                  <c:v>-5.7446044691764557</c:v>
                </c:pt>
                <c:pt idx="209">
                  <c:v>-5.7446044691764557</c:v>
                </c:pt>
                <c:pt idx="210">
                  <c:v>-5.7446044691764557</c:v>
                </c:pt>
                <c:pt idx="211">
                  <c:v>-5.7446044691764557</c:v>
                </c:pt>
                <c:pt idx="212">
                  <c:v>-5.7446044691764557</c:v>
                </c:pt>
                <c:pt idx="213">
                  <c:v>-5.7763531674910364</c:v>
                </c:pt>
                <c:pt idx="214">
                  <c:v>-5.7446044691764557</c:v>
                </c:pt>
                <c:pt idx="215">
                  <c:v>-5.7446044691764557</c:v>
                </c:pt>
                <c:pt idx="216">
                  <c:v>-5.7446044691764557</c:v>
                </c:pt>
                <c:pt idx="217">
                  <c:v>-5.7763531674910364</c:v>
                </c:pt>
                <c:pt idx="218">
                  <c:v>-5.7446044691764557</c:v>
                </c:pt>
                <c:pt idx="219">
                  <c:v>-5.7446044691764557</c:v>
                </c:pt>
                <c:pt idx="220">
                  <c:v>-5.7446044691764557</c:v>
                </c:pt>
                <c:pt idx="221">
                  <c:v>-5.7446044691764557</c:v>
                </c:pt>
                <c:pt idx="222">
                  <c:v>-5.7763531674910364</c:v>
                </c:pt>
                <c:pt idx="223">
                  <c:v>-5.7763531674910364</c:v>
                </c:pt>
                <c:pt idx="224">
                  <c:v>-5.7446044691764557</c:v>
                </c:pt>
                <c:pt idx="225">
                  <c:v>-5.7446044691764557</c:v>
                </c:pt>
                <c:pt idx="226">
                  <c:v>-5.7138328105097029</c:v>
                </c:pt>
                <c:pt idx="227">
                  <c:v>-5.7446044691764557</c:v>
                </c:pt>
                <c:pt idx="228">
                  <c:v>-5.7446044691764557</c:v>
                </c:pt>
                <c:pt idx="229">
                  <c:v>-5.7446044691764557</c:v>
                </c:pt>
                <c:pt idx="230">
                  <c:v>-5.7446044691764557</c:v>
                </c:pt>
                <c:pt idx="231">
                  <c:v>-5.7446044691764557</c:v>
                </c:pt>
                <c:pt idx="232">
                  <c:v>-5.7446044691764557</c:v>
                </c:pt>
                <c:pt idx="233">
                  <c:v>-5.7446044691764557</c:v>
                </c:pt>
                <c:pt idx="234">
                  <c:v>-5.7446044691764557</c:v>
                </c:pt>
                <c:pt idx="235">
                  <c:v>-5.7446044691764557</c:v>
                </c:pt>
                <c:pt idx="236">
                  <c:v>-5.7446044691764557</c:v>
                </c:pt>
                <c:pt idx="237">
                  <c:v>-5.7446044691764557</c:v>
                </c:pt>
                <c:pt idx="238">
                  <c:v>-5.7446044691764557</c:v>
                </c:pt>
                <c:pt idx="239">
                  <c:v>-5.7446044691764557</c:v>
                </c:pt>
                <c:pt idx="240">
                  <c:v>-5.7446044691764557</c:v>
                </c:pt>
                <c:pt idx="241">
                  <c:v>-5.7763531674910364</c:v>
                </c:pt>
                <c:pt idx="242">
                  <c:v>-5.7763531674910364</c:v>
                </c:pt>
                <c:pt idx="243">
                  <c:v>-5.7763531674910364</c:v>
                </c:pt>
                <c:pt idx="244">
                  <c:v>-5.7763531674910364</c:v>
                </c:pt>
                <c:pt idx="245">
                  <c:v>-5.7446044691764557</c:v>
                </c:pt>
                <c:pt idx="246">
                  <c:v>-5.7446044691764557</c:v>
                </c:pt>
                <c:pt idx="247">
                  <c:v>-5.7446044691764557</c:v>
                </c:pt>
                <c:pt idx="248">
                  <c:v>-5.7763531674910364</c:v>
                </c:pt>
                <c:pt idx="249">
                  <c:v>-5.7763531674910364</c:v>
                </c:pt>
                <c:pt idx="250">
                  <c:v>-5.7446044691764557</c:v>
                </c:pt>
                <c:pt idx="251">
                  <c:v>-5.7446044691764557</c:v>
                </c:pt>
                <c:pt idx="252">
                  <c:v>-5.7446044691764557</c:v>
                </c:pt>
                <c:pt idx="253">
                  <c:v>-5.7763531674910364</c:v>
                </c:pt>
                <c:pt idx="254">
                  <c:v>-5.7763531674910364</c:v>
                </c:pt>
                <c:pt idx="255">
                  <c:v>-5.7763531674910364</c:v>
                </c:pt>
                <c:pt idx="256">
                  <c:v>-5.7763531674910364</c:v>
                </c:pt>
                <c:pt idx="257">
                  <c:v>-5.7763531674910364</c:v>
                </c:pt>
                <c:pt idx="258">
                  <c:v>-5.7763531674910364</c:v>
                </c:pt>
                <c:pt idx="259">
                  <c:v>-5.7763531674910364</c:v>
                </c:pt>
                <c:pt idx="260">
                  <c:v>-5.7763531674910364</c:v>
                </c:pt>
                <c:pt idx="261">
                  <c:v>-5.7763531674910364</c:v>
                </c:pt>
                <c:pt idx="262">
                  <c:v>-5.7446044691764557</c:v>
                </c:pt>
                <c:pt idx="263">
                  <c:v>-5.7446044691764557</c:v>
                </c:pt>
                <c:pt idx="264">
                  <c:v>-5.7446044691764557</c:v>
                </c:pt>
                <c:pt idx="265">
                  <c:v>-5.7763531674910364</c:v>
                </c:pt>
                <c:pt idx="266">
                  <c:v>-5.7446044691764557</c:v>
                </c:pt>
                <c:pt idx="267">
                  <c:v>-5.7446044691764557</c:v>
                </c:pt>
                <c:pt idx="268">
                  <c:v>-5.7763531674910364</c:v>
                </c:pt>
                <c:pt idx="269">
                  <c:v>-5.7763531674910364</c:v>
                </c:pt>
                <c:pt idx="270">
                  <c:v>-5.7763531674910364</c:v>
                </c:pt>
                <c:pt idx="271">
                  <c:v>-5.7446044691764557</c:v>
                </c:pt>
                <c:pt idx="272">
                  <c:v>-5.7446044691764557</c:v>
                </c:pt>
                <c:pt idx="273">
                  <c:v>-5.7446044691764557</c:v>
                </c:pt>
                <c:pt idx="274">
                  <c:v>-5.7446044691764557</c:v>
                </c:pt>
                <c:pt idx="275">
                  <c:v>-5.7763531674910364</c:v>
                </c:pt>
                <c:pt idx="276">
                  <c:v>-5.7763531674910364</c:v>
                </c:pt>
                <c:pt idx="277">
                  <c:v>-5.7446044691764557</c:v>
                </c:pt>
                <c:pt idx="278">
                  <c:v>-5.7763531674910364</c:v>
                </c:pt>
                <c:pt idx="279">
                  <c:v>-5.7446044691764557</c:v>
                </c:pt>
                <c:pt idx="280">
                  <c:v>-5.7446044691764557</c:v>
                </c:pt>
                <c:pt idx="281">
                  <c:v>-5.7763531674910364</c:v>
                </c:pt>
                <c:pt idx="282">
                  <c:v>-5.7446044691764557</c:v>
                </c:pt>
                <c:pt idx="283">
                  <c:v>-5.7446044691764557</c:v>
                </c:pt>
                <c:pt idx="284">
                  <c:v>-5.7763531674910364</c:v>
                </c:pt>
                <c:pt idx="285">
                  <c:v>-5.7763531674910364</c:v>
                </c:pt>
                <c:pt idx="286">
                  <c:v>-5.8091429903140277</c:v>
                </c:pt>
                <c:pt idx="287">
                  <c:v>-5.7763531674910364</c:v>
                </c:pt>
                <c:pt idx="288">
                  <c:v>-5.7763531674910364</c:v>
                </c:pt>
                <c:pt idx="289">
                  <c:v>-5.7763531674910364</c:v>
                </c:pt>
                <c:pt idx="290">
                  <c:v>-5.7446044691764557</c:v>
                </c:pt>
                <c:pt idx="291">
                  <c:v>-5.7763531674910364</c:v>
                </c:pt>
                <c:pt idx="292">
                  <c:v>-5.7763531674910364</c:v>
                </c:pt>
                <c:pt idx="293">
                  <c:v>-5.7763531674910364</c:v>
                </c:pt>
                <c:pt idx="294">
                  <c:v>-5.8091429903140277</c:v>
                </c:pt>
                <c:pt idx="295">
                  <c:v>-5.7763531674910364</c:v>
                </c:pt>
                <c:pt idx="296">
                  <c:v>-5.7446044691764557</c:v>
                </c:pt>
                <c:pt idx="297">
                  <c:v>-5.7763531674910364</c:v>
                </c:pt>
                <c:pt idx="298">
                  <c:v>-5.7763531674910364</c:v>
                </c:pt>
                <c:pt idx="299">
                  <c:v>-5.8091429903140277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A3-4553-A9E2-C685BB4DC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25487"/>
        <c:axId val="747122127"/>
      </c:scatterChart>
      <c:valAx>
        <c:axId val="74712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2127"/>
        <c:crosses val="autoZero"/>
        <c:crossBetween val="midCat"/>
      </c:valAx>
      <c:valAx>
        <c:axId val="7471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3.420800524934383E-2"/>
                  <c:y val="-0.3229830125400991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3'!$A$2:$A$122</c:f>
              <c:numCache>
                <c:formatCode>General</c:formatCode>
                <c:ptCount val="12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</c:numCache>
            </c:numRef>
          </c:xVal>
          <c:yVal>
            <c:numRef>
              <c:f>'Test 3'!$B$2:$B$122</c:f>
              <c:numCache>
                <c:formatCode>General</c:formatCode>
                <c:ptCount val="121"/>
                <c:pt idx="0">
                  <c:v>5.58</c:v>
                </c:pt>
                <c:pt idx="1">
                  <c:v>5.6</c:v>
                </c:pt>
                <c:pt idx="2">
                  <c:v>5.78</c:v>
                </c:pt>
                <c:pt idx="3">
                  <c:v>5.82</c:v>
                </c:pt>
                <c:pt idx="4">
                  <c:v>5.73</c:v>
                </c:pt>
                <c:pt idx="5">
                  <c:v>5.81</c:v>
                </c:pt>
                <c:pt idx="6">
                  <c:v>5.72</c:v>
                </c:pt>
                <c:pt idx="7">
                  <c:v>5.63</c:v>
                </c:pt>
                <c:pt idx="8">
                  <c:v>5.63</c:v>
                </c:pt>
                <c:pt idx="9">
                  <c:v>5.56</c:v>
                </c:pt>
                <c:pt idx="10">
                  <c:v>5.54</c:v>
                </c:pt>
                <c:pt idx="11">
                  <c:v>5.48</c:v>
                </c:pt>
                <c:pt idx="12">
                  <c:v>5.44</c:v>
                </c:pt>
                <c:pt idx="13">
                  <c:v>5.41</c:v>
                </c:pt>
                <c:pt idx="14">
                  <c:v>5.37</c:v>
                </c:pt>
                <c:pt idx="15">
                  <c:v>5.41</c:v>
                </c:pt>
                <c:pt idx="16">
                  <c:v>5.41</c:v>
                </c:pt>
                <c:pt idx="17">
                  <c:v>5.33</c:v>
                </c:pt>
                <c:pt idx="18">
                  <c:v>5.4</c:v>
                </c:pt>
                <c:pt idx="19">
                  <c:v>5.18</c:v>
                </c:pt>
                <c:pt idx="20">
                  <c:v>5.38</c:v>
                </c:pt>
                <c:pt idx="21">
                  <c:v>5.26</c:v>
                </c:pt>
                <c:pt idx="22">
                  <c:v>5.19</c:v>
                </c:pt>
                <c:pt idx="23">
                  <c:v>5.28</c:v>
                </c:pt>
                <c:pt idx="24">
                  <c:v>5.25</c:v>
                </c:pt>
                <c:pt idx="25">
                  <c:v>5.14</c:v>
                </c:pt>
                <c:pt idx="26">
                  <c:v>5.09</c:v>
                </c:pt>
                <c:pt idx="27">
                  <c:v>5.15</c:v>
                </c:pt>
                <c:pt idx="28">
                  <c:v>5.09</c:v>
                </c:pt>
                <c:pt idx="29">
                  <c:v>4.96</c:v>
                </c:pt>
                <c:pt idx="30">
                  <c:v>4.96</c:v>
                </c:pt>
                <c:pt idx="31">
                  <c:v>5</c:v>
                </c:pt>
                <c:pt idx="32">
                  <c:v>4.8099999999999996</c:v>
                </c:pt>
                <c:pt idx="33">
                  <c:v>4.92</c:v>
                </c:pt>
                <c:pt idx="34">
                  <c:v>4.95</c:v>
                </c:pt>
                <c:pt idx="35">
                  <c:v>4.8</c:v>
                </c:pt>
                <c:pt idx="36">
                  <c:v>4.93</c:v>
                </c:pt>
                <c:pt idx="37">
                  <c:v>4.87</c:v>
                </c:pt>
                <c:pt idx="38">
                  <c:v>4.9000000000000004</c:v>
                </c:pt>
                <c:pt idx="39">
                  <c:v>4.8499999999999996</c:v>
                </c:pt>
                <c:pt idx="40">
                  <c:v>4.8099999999999996</c:v>
                </c:pt>
                <c:pt idx="41">
                  <c:v>4.75</c:v>
                </c:pt>
                <c:pt idx="42">
                  <c:v>4.78</c:v>
                </c:pt>
                <c:pt idx="43">
                  <c:v>4.7300000000000004</c:v>
                </c:pt>
                <c:pt idx="44">
                  <c:v>4.7699999999999996</c:v>
                </c:pt>
                <c:pt idx="45">
                  <c:v>4.66</c:v>
                </c:pt>
                <c:pt idx="46">
                  <c:v>4.7</c:v>
                </c:pt>
                <c:pt idx="47">
                  <c:v>4.76</c:v>
                </c:pt>
                <c:pt idx="48">
                  <c:v>4.71</c:v>
                </c:pt>
                <c:pt idx="49">
                  <c:v>4.6900000000000004</c:v>
                </c:pt>
                <c:pt idx="50">
                  <c:v>4.71</c:v>
                </c:pt>
                <c:pt idx="51">
                  <c:v>4.6900000000000004</c:v>
                </c:pt>
                <c:pt idx="52">
                  <c:v>4.63</c:v>
                </c:pt>
                <c:pt idx="53">
                  <c:v>4.6399999999999997</c:v>
                </c:pt>
                <c:pt idx="54">
                  <c:v>4.71</c:v>
                </c:pt>
                <c:pt idx="55">
                  <c:v>4.63</c:v>
                </c:pt>
                <c:pt idx="56">
                  <c:v>4.6900000000000004</c:v>
                </c:pt>
                <c:pt idx="57">
                  <c:v>4.6900000000000004</c:v>
                </c:pt>
                <c:pt idx="58">
                  <c:v>4.58</c:v>
                </c:pt>
                <c:pt idx="59">
                  <c:v>4.6399999999999997</c:v>
                </c:pt>
                <c:pt idx="60">
                  <c:v>4.53</c:v>
                </c:pt>
                <c:pt idx="61">
                  <c:v>4.5599999999999996</c:v>
                </c:pt>
                <c:pt idx="62">
                  <c:v>4.5599999999999996</c:v>
                </c:pt>
                <c:pt idx="63">
                  <c:v>4.58</c:v>
                </c:pt>
                <c:pt idx="64">
                  <c:v>4.58</c:v>
                </c:pt>
                <c:pt idx="65">
                  <c:v>4.49</c:v>
                </c:pt>
                <c:pt idx="66">
                  <c:v>4.49</c:v>
                </c:pt>
                <c:pt idx="67">
                  <c:v>4.54</c:v>
                </c:pt>
                <c:pt idx="68">
                  <c:v>4.51</c:v>
                </c:pt>
                <c:pt idx="69">
                  <c:v>4.3899999999999997</c:v>
                </c:pt>
                <c:pt idx="70">
                  <c:v>4.3899999999999997</c:v>
                </c:pt>
                <c:pt idx="71">
                  <c:v>4.47</c:v>
                </c:pt>
                <c:pt idx="72">
                  <c:v>4.47</c:v>
                </c:pt>
                <c:pt idx="73">
                  <c:v>4.43</c:v>
                </c:pt>
                <c:pt idx="74">
                  <c:v>4.42</c:v>
                </c:pt>
                <c:pt idx="75">
                  <c:v>4.3600000000000003</c:v>
                </c:pt>
                <c:pt idx="76">
                  <c:v>4.37</c:v>
                </c:pt>
                <c:pt idx="77">
                  <c:v>4.3099999999999996</c:v>
                </c:pt>
                <c:pt idx="78">
                  <c:v>4.37</c:v>
                </c:pt>
                <c:pt idx="79">
                  <c:v>4.3600000000000003</c:v>
                </c:pt>
                <c:pt idx="80">
                  <c:v>4.3099999999999996</c:v>
                </c:pt>
                <c:pt idx="81">
                  <c:v>4.42</c:v>
                </c:pt>
                <c:pt idx="82">
                  <c:v>4.3499999999999996</c:v>
                </c:pt>
                <c:pt idx="83">
                  <c:v>4.33</c:v>
                </c:pt>
                <c:pt idx="84">
                  <c:v>4.26</c:v>
                </c:pt>
                <c:pt idx="85">
                  <c:v>4.29</c:v>
                </c:pt>
                <c:pt idx="86">
                  <c:v>4.28</c:v>
                </c:pt>
                <c:pt idx="87">
                  <c:v>4.2300000000000004</c:v>
                </c:pt>
                <c:pt idx="88">
                  <c:v>4.13</c:v>
                </c:pt>
                <c:pt idx="89">
                  <c:v>4.1100000000000003</c:v>
                </c:pt>
                <c:pt idx="90">
                  <c:v>4.17</c:v>
                </c:pt>
                <c:pt idx="91">
                  <c:v>4.21</c:v>
                </c:pt>
                <c:pt idx="92">
                  <c:v>4.1900000000000004</c:v>
                </c:pt>
                <c:pt idx="93">
                  <c:v>4.0599999999999996</c:v>
                </c:pt>
                <c:pt idx="94">
                  <c:v>4.12</c:v>
                </c:pt>
                <c:pt idx="95">
                  <c:v>4.05</c:v>
                </c:pt>
                <c:pt idx="96">
                  <c:v>4.08</c:v>
                </c:pt>
                <c:pt idx="97">
                  <c:v>4.0599999999999996</c:v>
                </c:pt>
                <c:pt idx="98">
                  <c:v>4.1500000000000004</c:v>
                </c:pt>
                <c:pt idx="99">
                  <c:v>4.1500000000000004</c:v>
                </c:pt>
                <c:pt idx="100">
                  <c:v>4.04</c:v>
                </c:pt>
                <c:pt idx="101">
                  <c:v>4.08</c:v>
                </c:pt>
                <c:pt idx="102">
                  <c:v>4.0599999999999996</c:v>
                </c:pt>
                <c:pt idx="103">
                  <c:v>4.05</c:v>
                </c:pt>
                <c:pt idx="104">
                  <c:v>4</c:v>
                </c:pt>
                <c:pt idx="105">
                  <c:v>4.09</c:v>
                </c:pt>
                <c:pt idx="106">
                  <c:v>4.0199999999999996</c:v>
                </c:pt>
                <c:pt idx="107">
                  <c:v>4.03</c:v>
                </c:pt>
                <c:pt idx="108">
                  <c:v>4.0199999999999996</c:v>
                </c:pt>
                <c:pt idx="109">
                  <c:v>3.91</c:v>
                </c:pt>
                <c:pt idx="110">
                  <c:v>3.98</c:v>
                </c:pt>
                <c:pt idx="111">
                  <c:v>3.93</c:v>
                </c:pt>
                <c:pt idx="112">
                  <c:v>3.92</c:v>
                </c:pt>
                <c:pt idx="113">
                  <c:v>3.87</c:v>
                </c:pt>
                <c:pt idx="114">
                  <c:v>3.81</c:v>
                </c:pt>
                <c:pt idx="115">
                  <c:v>3.86</c:v>
                </c:pt>
                <c:pt idx="116">
                  <c:v>3.77</c:v>
                </c:pt>
                <c:pt idx="117">
                  <c:v>3.86</c:v>
                </c:pt>
                <c:pt idx="118">
                  <c:v>3.8</c:v>
                </c:pt>
                <c:pt idx="119">
                  <c:v>3.88</c:v>
                </c:pt>
                <c:pt idx="120">
                  <c:v>3.78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94-425A-894C-2AF0FD132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465423"/>
        <c:axId val="743464463"/>
      </c:scatterChart>
      <c:valAx>
        <c:axId val="743465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4463"/>
        <c:crosses val="autoZero"/>
        <c:crossBetween val="midCat"/>
      </c:valAx>
      <c:valAx>
        <c:axId val="74346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465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7.4103076269878027E-2"/>
                  <c:y val="-0.745114072279426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'Test 3'!$F$2:$F$122</c:f>
                <c:numCache>
                  <c:formatCode>General</c:formatCode>
                  <c:ptCount val="121"/>
                  <c:pt idx="0">
                    <c:v>1.792114695340502E-3</c:v>
                  </c:pt>
                  <c:pt idx="1">
                    <c:v>1.7857142857142859E-3</c:v>
                  </c:pt>
                  <c:pt idx="2">
                    <c:v>1.7301038062283738E-3</c:v>
                  </c:pt>
                  <c:pt idx="3">
                    <c:v>1.718213058419244E-3</c:v>
                  </c:pt>
                  <c:pt idx="4">
                    <c:v>1.745200698080279E-3</c:v>
                  </c:pt>
                  <c:pt idx="5">
                    <c:v>1.7211703958691913E-3</c:v>
                  </c:pt>
                  <c:pt idx="6">
                    <c:v>1.7482517482517487E-3</c:v>
                  </c:pt>
                  <c:pt idx="7">
                    <c:v>1.7761989342806397E-3</c:v>
                  </c:pt>
                  <c:pt idx="8">
                    <c:v>1.7761989342806397E-3</c:v>
                  </c:pt>
                  <c:pt idx="9">
                    <c:v>1.7985611510791368E-3</c:v>
                  </c:pt>
                  <c:pt idx="10">
                    <c:v>1.805054151624549E-3</c:v>
                  </c:pt>
                  <c:pt idx="11">
                    <c:v>1.8248175182481751E-3</c:v>
                  </c:pt>
                  <c:pt idx="12">
                    <c:v>1.838235294117647E-3</c:v>
                  </c:pt>
                  <c:pt idx="13">
                    <c:v>1.8484288354898338E-3</c:v>
                  </c:pt>
                  <c:pt idx="14">
                    <c:v>1.8621973929236501E-3</c:v>
                  </c:pt>
                  <c:pt idx="15">
                    <c:v>1.8484288354898338E-3</c:v>
                  </c:pt>
                  <c:pt idx="16">
                    <c:v>1.8484288354898338E-3</c:v>
                  </c:pt>
                  <c:pt idx="17">
                    <c:v>1.8761726078799252E-3</c:v>
                  </c:pt>
                  <c:pt idx="18">
                    <c:v>1.8518518518518519E-3</c:v>
                  </c:pt>
                  <c:pt idx="19">
                    <c:v>1.9305019305019308E-3</c:v>
                  </c:pt>
                  <c:pt idx="20">
                    <c:v>1.858736059479554E-3</c:v>
                  </c:pt>
                  <c:pt idx="21">
                    <c:v>1.9011406844106466E-3</c:v>
                  </c:pt>
                  <c:pt idx="22">
                    <c:v>1.926782273603083E-3</c:v>
                  </c:pt>
                  <c:pt idx="23">
                    <c:v>1.8939393939393942E-3</c:v>
                  </c:pt>
                  <c:pt idx="24">
                    <c:v>1.9047619047619048E-3</c:v>
                  </c:pt>
                  <c:pt idx="25">
                    <c:v>1.945525291828794E-3</c:v>
                  </c:pt>
                  <c:pt idx="26">
                    <c:v>1.964636542239686E-3</c:v>
                  </c:pt>
                  <c:pt idx="27">
                    <c:v>1.9417475728155341E-3</c:v>
                  </c:pt>
                  <c:pt idx="28">
                    <c:v>1.964636542239686E-3</c:v>
                  </c:pt>
                  <c:pt idx="29">
                    <c:v>2.0161290322580649E-3</c:v>
                  </c:pt>
                  <c:pt idx="30">
                    <c:v>2.0161290322580649E-3</c:v>
                  </c:pt>
                  <c:pt idx="31">
                    <c:v>2E-3</c:v>
                  </c:pt>
                  <c:pt idx="32">
                    <c:v>2.0790020790020791E-3</c:v>
                  </c:pt>
                  <c:pt idx="33">
                    <c:v>2.0325203252032522E-3</c:v>
                  </c:pt>
                  <c:pt idx="34">
                    <c:v>2.0202020202020202E-3</c:v>
                  </c:pt>
                  <c:pt idx="35">
                    <c:v>2.0833333333333337E-3</c:v>
                  </c:pt>
                  <c:pt idx="36">
                    <c:v>2.0283975659229213E-3</c:v>
                  </c:pt>
                  <c:pt idx="37">
                    <c:v>2.0533880903490761E-3</c:v>
                  </c:pt>
                  <c:pt idx="38">
                    <c:v>2.040816326530612E-3</c:v>
                  </c:pt>
                  <c:pt idx="39">
                    <c:v>2.0618556701030933E-3</c:v>
                  </c:pt>
                  <c:pt idx="40">
                    <c:v>2.0790020790020791E-3</c:v>
                  </c:pt>
                  <c:pt idx="41">
                    <c:v>2.1052631578947372E-3</c:v>
                  </c:pt>
                  <c:pt idx="42">
                    <c:v>2.0920502092050207E-3</c:v>
                  </c:pt>
                  <c:pt idx="43">
                    <c:v>2.1141649048625789E-3</c:v>
                  </c:pt>
                  <c:pt idx="44">
                    <c:v>2.0964360587002098E-3</c:v>
                  </c:pt>
                  <c:pt idx="45">
                    <c:v>2.1459227467811159E-3</c:v>
                  </c:pt>
                  <c:pt idx="46">
                    <c:v>2.1276595744680851E-3</c:v>
                  </c:pt>
                  <c:pt idx="47">
                    <c:v>2.1008403361344541E-3</c:v>
                  </c:pt>
                  <c:pt idx="48">
                    <c:v>2.123142250530786E-3</c:v>
                  </c:pt>
                  <c:pt idx="49">
                    <c:v>2.1321961620469083E-3</c:v>
                  </c:pt>
                  <c:pt idx="50">
                    <c:v>2.123142250530786E-3</c:v>
                  </c:pt>
                  <c:pt idx="51">
                    <c:v>2.1321961620469083E-3</c:v>
                  </c:pt>
                  <c:pt idx="52">
                    <c:v>2.1598272138228947E-3</c:v>
                  </c:pt>
                  <c:pt idx="53">
                    <c:v>2.1551724137931034E-3</c:v>
                  </c:pt>
                  <c:pt idx="54">
                    <c:v>2.123142250530786E-3</c:v>
                  </c:pt>
                  <c:pt idx="55">
                    <c:v>2.1598272138228947E-3</c:v>
                  </c:pt>
                  <c:pt idx="56">
                    <c:v>2.1321961620469083E-3</c:v>
                  </c:pt>
                  <c:pt idx="57">
                    <c:v>2.1321961620469083E-3</c:v>
                  </c:pt>
                  <c:pt idx="58">
                    <c:v>2.1834061135371182E-3</c:v>
                  </c:pt>
                  <c:pt idx="59">
                    <c:v>2.1551724137931034E-3</c:v>
                  </c:pt>
                  <c:pt idx="60">
                    <c:v>2.2075055187637969E-3</c:v>
                  </c:pt>
                  <c:pt idx="61">
                    <c:v>2.1929824561403512E-3</c:v>
                  </c:pt>
                  <c:pt idx="62">
                    <c:v>2.1929824561403512E-3</c:v>
                  </c:pt>
                  <c:pt idx="63">
                    <c:v>2.1834061135371182E-3</c:v>
                  </c:pt>
                  <c:pt idx="64">
                    <c:v>2.1834061135371182E-3</c:v>
                  </c:pt>
                  <c:pt idx="65">
                    <c:v>2.2271714922049001E-3</c:v>
                  </c:pt>
                  <c:pt idx="66">
                    <c:v>2.2271714922049001E-3</c:v>
                  </c:pt>
                  <c:pt idx="67">
                    <c:v>2.2026431718061676E-3</c:v>
                  </c:pt>
                  <c:pt idx="68">
                    <c:v>2.2172949002217295E-3</c:v>
                  </c:pt>
                  <c:pt idx="69">
                    <c:v>2.2779043280182236E-3</c:v>
                  </c:pt>
                  <c:pt idx="70">
                    <c:v>2.2779043280182236E-3</c:v>
                  </c:pt>
                  <c:pt idx="71">
                    <c:v>2.2371364653243852E-3</c:v>
                  </c:pt>
                  <c:pt idx="72">
                    <c:v>2.2371364653243852E-3</c:v>
                  </c:pt>
                  <c:pt idx="73">
                    <c:v>2.2573363431151244E-3</c:v>
                  </c:pt>
                  <c:pt idx="74">
                    <c:v>2.2624434389140274E-3</c:v>
                  </c:pt>
                  <c:pt idx="75">
                    <c:v>2.2935779816513763E-3</c:v>
                  </c:pt>
                  <c:pt idx="76">
                    <c:v>2.2883295194508014E-3</c:v>
                  </c:pt>
                  <c:pt idx="77">
                    <c:v>2.3201856148491883E-3</c:v>
                  </c:pt>
                  <c:pt idx="78">
                    <c:v>2.2883295194508014E-3</c:v>
                  </c:pt>
                  <c:pt idx="79">
                    <c:v>2.2935779816513763E-3</c:v>
                  </c:pt>
                  <c:pt idx="80">
                    <c:v>2.3201856148491883E-3</c:v>
                  </c:pt>
                  <c:pt idx="81">
                    <c:v>2.2624434389140274E-3</c:v>
                  </c:pt>
                  <c:pt idx="82">
                    <c:v>2.2988505747126441E-3</c:v>
                  </c:pt>
                  <c:pt idx="83">
                    <c:v>2.3094688221709011E-3</c:v>
                  </c:pt>
                  <c:pt idx="84">
                    <c:v>2.3474178403755869E-3</c:v>
                  </c:pt>
                  <c:pt idx="85">
                    <c:v>2.331002331002331E-3</c:v>
                  </c:pt>
                  <c:pt idx="86">
                    <c:v>2.3364485981308414E-3</c:v>
                  </c:pt>
                  <c:pt idx="87">
                    <c:v>2.3640661938534278E-3</c:v>
                  </c:pt>
                  <c:pt idx="88">
                    <c:v>2.4213075060532689E-3</c:v>
                  </c:pt>
                  <c:pt idx="89">
                    <c:v>2.4330900243309003E-3</c:v>
                  </c:pt>
                  <c:pt idx="90">
                    <c:v>2.3980815347721825E-3</c:v>
                  </c:pt>
                  <c:pt idx="91">
                    <c:v>2.3752969121140144E-3</c:v>
                  </c:pt>
                  <c:pt idx="92">
                    <c:v>2.3866348448687352E-3</c:v>
                  </c:pt>
                  <c:pt idx="93">
                    <c:v>2.4630541871921187E-3</c:v>
                  </c:pt>
                  <c:pt idx="94">
                    <c:v>2.4271844660194173E-3</c:v>
                  </c:pt>
                  <c:pt idx="95">
                    <c:v>2.4691358024691362E-3</c:v>
                  </c:pt>
                  <c:pt idx="96">
                    <c:v>2.4509803921568627E-3</c:v>
                  </c:pt>
                  <c:pt idx="97">
                    <c:v>2.4630541871921187E-3</c:v>
                  </c:pt>
                  <c:pt idx="98">
                    <c:v>2.4096385542168677E-3</c:v>
                  </c:pt>
                  <c:pt idx="99">
                    <c:v>2.4096385542168677E-3</c:v>
                  </c:pt>
                  <c:pt idx="100">
                    <c:v>2.4752475247524753E-3</c:v>
                  </c:pt>
                  <c:pt idx="101">
                    <c:v>2.4509803921568627E-3</c:v>
                  </c:pt>
                  <c:pt idx="102">
                    <c:v>2.4630541871921187E-3</c:v>
                  </c:pt>
                  <c:pt idx="103">
                    <c:v>2.4691358024691362E-3</c:v>
                  </c:pt>
                  <c:pt idx="104">
                    <c:v>2.5000000000000001E-3</c:v>
                  </c:pt>
                  <c:pt idx="105">
                    <c:v>2.4449877750611251E-3</c:v>
                  </c:pt>
                  <c:pt idx="106">
                    <c:v>2.4875621890547272E-3</c:v>
                  </c:pt>
                  <c:pt idx="107">
                    <c:v>2.4813895781637717E-3</c:v>
                  </c:pt>
                  <c:pt idx="108">
                    <c:v>2.4875621890547272E-3</c:v>
                  </c:pt>
                  <c:pt idx="109">
                    <c:v>2.5575447570332483E-3</c:v>
                  </c:pt>
                  <c:pt idx="110">
                    <c:v>2.5125628140703518E-3</c:v>
                  </c:pt>
                  <c:pt idx="111">
                    <c:v>2.5445292620865142E-3</c:v>
                  </c:pt>
                  <c:pt idx="112">
                    <c:v>2.5510204081632655E-3</c:v>
                  </c:pt>
                  <c:pt idx="113">
                    <c:v>2.5839793281653748E-3</c:v>
                  </c:pt>
                  <c:pt idx="114">
                    <c:v>2.6246719160104991E-3</c:v>
                  </c:pt>
                  <c:pt idx="115">
                    <c:v>2.5906735751295342E-3</c:v>
                  </c:pt>
                  <c:pt idx="116">
                    <c:v>2.6525198938992045E-3</c:v>
                  </c:pt>
                  <c:pt idx="117">
                    <c:v>2.5906735751295342E-3</c:v>
                  </c:pt>
                  <c:pt idx="118">
                    <c:v>2.6315789473684214E-3</c:v>
                  </c:pt>
                  <c:pt idx="119">
                    <c:v>2.5773195876288664E-3</c:v>
                  </c:pt>
                  <c:pt idx="120">
                    <c:v>2.6455026455026458E-3</c:v>
                  </c:pt>
                </c:numCache>
              </c:numRef>
            </c:plus>
            <c:minus>
              <c:numRef>
                <c:f>'Test 3'!$F$2:$F$122</c:f>
                <c:numCache>
                  <c:formatCode>General</c:formatCode>
                  <c:ptCount val="121"/>
                  <c:pt idx="0">
                    <c:v>1.792114695340502E-3</c:v>
                  </c:pt>
                  <c:pt idx="1">
                    <c:v>1.7857142857142859E-3</c:v>
                  </c:pt>
                  <c:pt idx="2">
                    <c:v>1.7301038062283738E-3</c:v>
                  </c:pt>
                  <c:pt idx="3">
                    <c:v>1.718213058419244E-3</c:v>
                  </c:pt>
                  <c:pt idx="4">
                    <c:v>1.745200698080279E-3</c:v>
                  </c:pt>
                  <c:pt idx="5">
                    <c:v>1.7211703958691913E-3</c:v>
                  </c:pt>
                  <c:pt idx="6">
                    <c:v>1.7482517482517487E-3</c:v>
                  </c:pt>
                  <c:pt idx="7">
                    <c:v>1.7761989342806397E-3</c:v>
                  </c:pt>
                  <c:pt idx="8">
                    <c:v>1.7761989342806397E-3</c:v>
                  </c:pt>
                  <c:pt idx="9">
                    <c:v>1.7985611510791368E-3</c:v>
                  </c:pt>
                  <c:pt idx="10">
                    <c:v>1.805054151624549E-3</c:v>
                  </c:pt>
                  <c:pt idx="11">
                    <c:v>1.8248175182481751E-3</c:v>
                  </c:pt>
                  <c:pt idx="12">
                    <c:v>1.838235294117647E-3</c:v>
                  </c:pt>
                  <c:pt idx="13">
                    <c:v>1.8484288354898338E-3</c:v>
                  </c:pt>
                  <c:pt idx="14">
                    <c:v>1.8621973929236501E-3</c:v>
                  </c:pt>
                  <c:pt idx="15">
                    <c:v>1.8484288354898338E-3</c:v>
                  </c:pt>
                  <c:pt idx="16">
                    <c:v>1.8484288354898338E-3</c:v>
                  </c:pt>
                  <c:pt idx="17">
                    <c:v>1.8761726078799252E-3</c:v>
                  </c:pt>
                  <c:pt idx="18">
                    <c:v>1.8518518518518519E-3</c:v>
                  </c:pt>
                  <c:pt idx="19">
                    <c:v>1.9305019305019308E-3</c:v>
                  </c:pt>
                  <c:pt idx="20">
                    <c:v>1.858736059479554E-3</c:v>
                  </c:pt>
                  <c:pt idx="21">
                    <c:v>1.9011406844106466E-3</c:v>
                  </c:pt>
                  <c:pt idx="22">
                    <c:v>1.926782273603083E-3</c:v>
                  </c:pt>
                  <c:pt idx="23">
                    <c:v>1.8939393939393942E-3</c:v>
                  </c:pt>
                  <c:pt idx="24">
                    <c:v>1.9047619047619048E-3</c:v>
                  </c:pt>
                  <c:pt idx="25">
                    <c:v>1.945525291828794E-3</c:v>
                  </c:pt>
                  <c:pt idx="26">
                    <c:v>1.964636542239686E-3</c:v>
                  </c:pt>
                  <c:pt idx="27">
                    <c:v>1.9417475728155341E-3</c:v>
                  </c:pt>
                  <c:pt idx="28">
                    <c:v>1.964636542239686E-3</c:v>
                  </c:pt>
                  <c:pt idx="29">
                    <c:v>2.0161290322580649E-3</c:v>
                  </c:pt>
                  <c:pt idx="30">
                    <c:v>2.0161290322580649E-3</c:v>
                  </c:pt>
                  <c:pt idx="31">
                    <c:v>2E-3</c:v>
                  </c:pt>
                  <c:pt idx="32">
                    <c:v>2.0790020790020791E-3</c:v>
                  </c:pt>
                  <c:pt idx="33">
                    <c:v>2.0325203252032522E-3</c:v>
                  </c:pt>
                  <c:pt idx="34">
                    <c:v>2.0202020202020202E-3</c:v>
                  </c:pt>
                  <c:pt idx="35">
                    <c:v>2.0833333333333337E-3</c:v>
                  </c:pt>
                  <c:pt idx="36">
                    <c:v>2.0283975659229213E-3</c:v>
                  </c:pt>
                  <c:pt idx="37">
                    <c:v>2.0533880903490761E-3</c:v>
                  </c:pt>
                  <c:pt idx="38">
                    <c:v>2.040816326530612E-3</c:v>
                  </c:pt>
                  <c:pt idx="39">
                    <c:v>2.0618556701030933E-3</c:v>
                  </c:pt>
                  <c:pt idx="40">
                    <c:v>2.0790020790020791E-3</c:v>
                  </c:pt>
                  <c:pt idx="41">
                    <c:v>2.1052631578947372E-3</c:v>
                  </c:pt>
                  <c:pt idx="42">
                    <c:v>2.0920502092050207E-3</c:v>
                  </c:pt>
                  <c:pt idx="43">
                    <c:v>2.1141649048625789E-3</c:v>
                  </c:pt>
                  <c:pt idx="44">
                    <c:v>2.0964360587002098E-3</c:v>
                  </c:pt>
                  <c:pt idx="45">
                    <c:v>2.1459227467811159E-3</c:v>
                  </c:pt>
                  <c:pt idx="46">
                    <c:v>2.1276595744680851E-3</c:v>
                  </c:pt>
                  <c:pt idx="47">
                    <c:v>2.1008403361344541E-3</c:v>
                  </c:pt>
                  <c:pt idx="48">
                    <c:v>2.123142250530786E-3</c:v>
                  </c:pt>
                  <c:pt idx="49">
                    <c:v>2.1321961620469083E-3</c:v>
                  </c:pt>
                  <c:pt idx="50">
                    <c:v>2.123142250530786E-3</c:v>
                  </c:pt>
                  <c:pt idx="51">
                    <c:v>2.1321961620469083E-3</c:v>
                  </c:pt>
                  <c:pt idx="52">
                    <c:v>2.1598272138228947E-3</c:v>
                  </c:pt>
                  <c:pt idx="53">
                    <c:v>2.1551724137931034E-3</c:v>
                  </c:pt>
                  <c:pt idx="54">
                    <c:v>2.123142250530786E-3</c:v>
                  </c:pt>
                  <c:pt idx="55">
                    <c:v>2.1598272138228947E-3</c:v>
                  </c:pt>
                  <c:pt idx="56">
                    <c:v>2.1321961620469083E-3</c:v>
                  </c:pt>
                  <c:pt idx="57">
                    <c:v>2.1321961620469083E-3</c:v>
                  </c:pt>
                  <c:pt idx="58">
                    <c:v>2.1834061135371182E-3</c:v>
                  </c:pt>
                  <c:pt idx="59">
                    <c:v>2.1551724137931034E-3</c:v>
                  </c:pt>
                  <c:pt idx="60">
                    <c:v>2.2075055187637969E-3</c:v>
                  </c:pt>
                  <c:pt idx="61">
                    <c:v>2.1929824561403512E-3</c:v>
                  </c:pt>
                  <c:pt idx="62">
                    <c:v>2.1929824561403512E-3</c:v>
                  </c:pt>
                  <c:pt idx="63">
                    <c:v>2.1834061135371182E-3</c:v>
                  </c:pt>
                  <c:pt idx="64">
                    <c:v>2.1834061135371182E-3</c:v>
                  </c:pt>
                  <c:pt idx="65">
                    <c:v>2.2271714922049001E-3</c:v>
                  </c:pt>
                  <c:pt idx="66">
                    <c:v>2.2271714922049001E-3</c:v>
                  </c:pt>
                  <c:pt idx="67">
                    <c:v>2.2026431718061676E-3</c:v>
                  </c:pt>
                  <c:pt idx="68">
                    <c:v>2.2172949002217295E-3</c:v>
                  </c:pt>
                  <c:pt idx="69">
                    <c:v>2.2779043280182236E-3</c:v>
                  </c:pt>
                  <c:pt idx="70">
                    <c:v>2.2779043280182236E-3</c:v>
                  </c:pt>
                  <c:pt idx="71">
                    <c:v>2.2371364653243852E-3</c:v>
                  </c:pt>
                  <c:pt idx="72">
                    <c:v>2.2371364653243852E-3</c:v>
                  </c:pt>
                  <c:pt idx="73">
                    <c:v>2.2573363431151244E-3</c:v>
                  </c:pt>
                  <c:pt idx="74">
                    <c:v>2.2624434389140274E-3</c:v>
                  </c:pt>
                  <c:pt idx="75">
                    <c:v>2.2935779816513763E-3</c:v>
                  </c:pt>
                  <c:pt idx="76">
                    <c:v>2.2883295194508014E-3</c:v>
                  </c:pt>
                  <c:pt idx="77">
                    <c:v>2.3201856148491883E-3</c:v>
                  </c:pt>
                  <c:pt idx="78">
                    <c:v>2.2883295194508014E-3</c:v>
                  </c:pt>
                  <c:pt idx="79">
                    <c:v>2.2935779816513763E-3</c:v>
                  </c:pt>
                  <c:pt idx="80">
                    <c:v>2.3201856148491883E-3</c:v>
                  </c:pt>
                  <c:pt idx="81">
                    <c:v>2.2624434389140274E-3</c:v>
                  </c:pt>
                  <c:pt idx="82">
                    <c:v>2.2988505747126441E-3</c:v>
                  </c:pt>
                  <c:pt idx="83">
                    <c:v>2.3094688221709011E-3</c:v>
                  </c:pt>
                  <c:pt idx="84">
                    <c:v>2.3474178403755869E-3</c:v>
                  </c:pt>
                  <c:pt idx="85">
                    <c:v>2.331002331002331E-3</c:v>
                  </c:pt>
                  <c:pt idx="86">
                    <c:v>2.3364485981308414E-3</c:v>
                  </c:pt>
                  <c:pt idx="87">
                    <c:v>2.3640661938534278E-3</c:v>
                  </c:pt>
                  <c:pt idx="88">
                    <c:v>2.4213075060532689E-3</c:v>
                  </c:pt>
                  <c:pt idx="89">
                    <c:v>2.4330900243309003E-3</c:v>
                  </c:pt>
                  <c:pt idx="90">
                    <c:v>2.3980815347721825E-3</c:v>
                  </c:pt>
                  <c:pt idx="91">
                    <c:v>2.3752969121140144E-3</c:v>
                  </c:pt>
                  <c:pt idx="92">
                    <c:v>2.3866348448687352E-3</c:v>
                  </c:pt>
                  <c:pt idx="93">
                    <c:v>2.4630541871921187E-3</c:v>
                  </c:pt>
                  <c:pt idx="94">
                    <c:v>2.4271844660194173E-3</c:v>
                  </c:pt>
                  <c:pt idx="95">
                    <c:v>2.4691358024691362E-3</c:v>
                  </c:pt>
                  <c:pt idx="96">
                    <c:v>2.4509803921568627E-3</c:v>
                  </c:pt>
                  <c:pt idx="97">
                    <c:v>2.4630541871921187E-3</c:v>
                  </c:pt>
                  <c:pt idx="98">
                    <c:v>2.4096385542168677E-3</c:v>
                  </c:pt>
                  <c:pt idx="99">
                    <c:v>2.4096385542168677E-3</c:v>
                  </c:pt>
                  <c:pt idx="100">
                    <c:v>2.4752475247524753E-3</c:v>
                  </c:pt>
                  <c:pt idx="101">
                    <c:v>2.4509803921568627E-3</c:v>
                  </c:pt>
                  <c:pt idx="102">
                    <c:v>2.4630541871921187E-3</c:v>
                  </c:pt>
                  <c:pt idx="103">
                    <c:v>2.4691358024691362E-3</c:v>
                  </c:pt>
                  <c:pt idx="104">
                    <c:v>2.5000000000000001E-3</c:v>
                  </c:pt>
                  <c:pt idx="105">
                    <c:v>2.4449877750611251E-3</c:v>
                  </c:pt>
                  <c:pt idx="106">
                    <c:v>2.4875621890547272E-3</c:v>
                  </c:pt>
                  <c:pt idx="107">
                    <c:v>2.4813895781637717E-3</c:v>
                  </c:pt>
                  <c:pt idx="108">
                    <c:v>2.4875621890547272E-3</c:v>
                  </c:pt>
                  <c:pt idx="109">
                    <c:v>2.5575447570332483E-3</c:v>
                  </c:pt>
                  <c:pt idx="110">
                    <c:v>2.5125628140703518E-3</c:v>
                  </c:pt>
                  <c:pt idx="111">
                    <c:v>2.5445292620865142E-3</c:v>
                  </c:pt>
                  <c:pt idx="112">
                    <c:v>2.5510204081632655E-3</c:v>
                  </c:pt>
                  <c:pt idx="113">
                    <c:v>2.5839793281653748E-3</c:v>
                  </c:pt>
                  <c:pt idx="114">
                    <c:v>2.6246719160104991E-3</c:v>
                  </c:pt>
                  <c:pt idx="115">
                    <c:v>2.5906735751295342E-3</c:v>
                  </c:pt>
                  <c:pt idx="116">
                    <c:v>2.6525198938992045E-3</c:v>
                  </c:pt>
                  <c:pt idx="117">
                    <c:v>2.5906735751295342E-3</c:v>
                  </c:pt>
                  <c:pt idx="118">
                    <c:v>2.6315789473684214E-3</c:v>
                  </c:pt>
                  <c:pt idx="119">
                    <c:v>2.5773195876288664E-3</c:v>
                  </c:pt>
                  <c:pt idx="120">
                    <c:v>2.6455026455026458E-3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x"/>
            <c:errBarType val="both"/>
            <c:errValType val="fixedVal"/>
            <c:noEndCap val="0"/>
            <c:val val="1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'Test 3'!$A$4:$A$62</c:f>
              <c:numCache>
                <c:formatCode>General</c:formatCode>
                <c:ptCount val="5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  <c:pt idx="19">
                  <c:v>105</c:v>
                </c:pt>
                <c:pt idx="20">
                  <c:v>110</c:v>
                </c:pt>
                <c:pt idx="21">
                  <c:v>115</c:v>
                </c:pt>
                <c:pt idx="22">
                  <c:v>120</c:v>
                </c:pt>
                <c:pt idx="23">
                  <c:v>125</c:v>
                </c:pt>
                <c:pt idx="24">
                  <c:v>130</c:v>
                </c:pt>
                <c:pt idx="25">
                  <c:v>135</c:v>
                </c:pt>
                <c:pt idx="26">
                  <c:v>140</c:v>
                </c:pt>
                <c:pt idx="27">
                  <c:v>145</c:v>
                </c:pt>
                <c:pt idx="28">
                  <c:v>150</c:v>
                </c:pt>
                <c:pt idx="29">
                  <c:v>155</c:v>
                </c:pt>
                <c:pt idx="30">
                  <c:v>160</c:v>
                </c:pt>
                <c:pt idx="31">
                  <c:v>165</c:v>
                </c:pt>
                <c:pt idx="32">
                  <c:v>170</c:v>
                </c:pt>
                <c:pt idx="33">
                  <c:v>175</c:v>
                </c:pt>
                <c:pt idx="34">
                  <c:v>180</c:v>
                </c:pt>
                <c:pt idx="35">
                  <c:v>185</c:v>
                </c:pt>
                <c:pt idx="36">
                  <c:v>190</c:v>
                </c:pt>
                <c:pt idx="37">
                  <c:v>195</c:v>
                </c:pt>
                <c:pt idx="38">
                  <c:v>200</c:v>
                </c:pt>
                <c:pt idx="39">
                  <c:v>205</c:v>
                </c:pt>
                <c:pt idx="40">
                  <c:v>210</c:v>
                </c:pt>
                <c:pt idx="41">
                  <c:v>215</c:v>
                </c:pt>
                <c:pt idx="42">
                  <c:v>220</c:v>
                </c:pt>
                <c:pt idx="43">
                  <c:v>225</c:v>
                </c:pt>
                <c:pt idx="44">
                  <c:v>230</c:v>
                </c:pt>
                <c:pt idx="45">
                  <c:v>235</c:v>
                </c:pt>
                <c:pt idx="46">
                  <c:v>240</c:v>
                </c:pt>
                <c:pt idx="47">
                  <c:v>245</c:v>
                </c:pt>
                <c:pt idx="48">
                  <c:v>250</c:v>
                </c:pt>
                <c:pt idx="49">
                  <c:v>255</c:v>
                </c:pt>
                <c:pt idx="50">
                  <c:v>260</c:v>
                </c:pt>
                <c:pt idx="51">
                  <c:v>265</c:v>
                </c:pt>
                <c:pt idx="52">
                  <c:v>270</c:v>
                </c:pt>
                <c:pt idx="53">
                  <c:v>275</c:v>
                </c:pt>
                <c:pt idx="54">
                  <c:v>280</c:v>
                </c:pt>
                <c:pt idx="55">
                  <c:v>285</c:v>
                </c:pt>
                <c:pt idx="56">
                  <c:v>290</c:v>
                </c:pt>
                <c:pt idx="57">
                  <c:v>295</c:v>
                </c:pt>
                <c:pt idx="58">
                  <c:v>300</c:v>
                </c:pt>
              </c:numCache>
            </c:numRef>
          </c:xVal>
          <c:yVal>
            <c:numRef>
              <c:f>'Test 3'!$E$4:$E$62</c:f>
              <c:numCache>
                <c:formatCode>General</c:formatCode>
                <c:ptCount val="59"/>
                <c:pt idx="0">
                  <c:v>-5.1533515962978509</c:v>
                </c:pt>
                <c:pt idx="1">
                  <c:v>-5.1464550172387904</c:v>
                </c:pt>
                <c:pt idx="2">
                  <c:v>-5.1620397482554887</c:v>
                </c:pt>
                <c:pt idx="3">
                  <c:v>-5.1481747081183169</c:v>
                </c:pt>
                <c:pt idx="4">
                  <c:v>-5.1637864735904309</c:v>
                </c:pt>
                <c:pt idx="5">
                  <c:v>-5.179645836830538</c:v>
                </c:pt>
                <c:pt idx="6">
                  <c:v>-5.179645836830538</c:v>
                </c:pt>
                <c:pt idx="7">
                  <c:v>-5.1921571707196463</c:v>
                </c:pt>
                <c:pt idx="8">
                  <c:v>-5.1957607782229447</c:v>
                </c:pt>
                <c:pt idx="9">
                  <c:v>-5.2066501780222127</c:v>
                </c:pt>
                <c:pt idx="10">
                  <c:v>-5.2139762181142855</c:v>
                </c:pt>
                <c:pt idx="11">
                  <c:v>-5.2195061861237466</c:v>
                </c:pt>
                <c:pt idx="12">
                  <c:v>-5.2269273704613637</c:v>
                </c:pt>
                <c:pt idx="13">
                  <c:v>-5.2195061861237466</c:v>
                </c:pt>
                <c:pt idx="14">
                  <c:v>-5.2195061861237466</c:v>
                </c:pt>
                <c:pt idx="15">
                  <c:v>-5.2344040408043844</c:v>
                </c:pt>
                <c:pt idx="16">
                  <c:v>-5.2213563254119082</c:v>
                </c:pt>
                <c:pt idx="17">
                  <c:v>-5.262950222710745</c:v>
                </c:pt>
                <c:pt idx="18">
                  <c:v>-5.2250669048084442</c:v>
                </c:pt>
                <c:pt idx="19">
                  <c:v>-5.2476242522325185</c:v>
                </c:pt>
                <c:pt idx="20">
                  <c:v>-5.2610215818043393</c:v>
                </c:pt>
                <c:pt idx="21">
                  <c:v>-5.2438291812639672</c:v>
                </c:pt>
                <c:pt idx="22">
                  <c:v>-5.249527202378605</c:v>
                </c:pt>
                <c:pt idx="23">
                  <c:v>-5.2707021995150631</c:v>
                </c:pt>
                <c:pt idx="24">
                  <c:v>-5.2804774484197061</c:v>
                </c:pt>
                <c:pt idx="25">
                  <c:v>-5.2687585643064923</c:v>
                </c:pt>
                <c:pt idx="26">
                  <c:v>-5.2804774484197061</c:v>
                </c:pt>
                <c:pt idx="27">
                  <c:v>-5.3063495382453008</c:v>
                </c:pt>
                <c:pt idx="28">
                  <c:v>-5.3063495382453008</c:v>
                </c:pt>
                <c:pt idx="29">
                  <c:v>-5.2983173665480363</c:v>
                </c:pt>
                <c:pt idx="30">
                  <c:v>-5.3370581948644675</c:v>
                </c:pt>
                <c:pt idx="31">
                  <c:v>-5.3144467484779208</c:v>
                </c:pt>
                <c:pt idx="32">
                  <c:v>-5.3083677024015383</c:v>
                </c:pt>
                <c:pt idx="33">
                  <c:v>-5.339139361068292</c:v>
                </c:pt>
                <c:pt idx="34">
                  <c:v>-5.3124162909275388</c:v>
                </c:pt>
                <c:pt idx="35">
                  <c:v>-5.324661341887639</c:v>
                </c:pt>
                <c:pt idx="36">
                  <c:v>-5.3185200738655558</c:v>
                </c:pt>
                <c:pt idx="37">
                  <c:v>-5.3287765740327453</c:v>
                </c:pt>
                <c:pt idx="38">
                  <c:v>-5.3370581948644675</c:v>
                </c:pt>
                <c:pt idx="39">
                  <c:v>-5.3496106609355873</c:v>
                </c:pt>
                <c:pt idx="40">
                  <c:v>-5.3433147324787722</c:v>
                </c:pt>
                <c:pt idx="41">
                  <c:v>-5.3538300764782951</c:v>
                </c:pt>
                <c:pt idx="42">
                  <c:v>-5.3454089740818871</c:v>
                </c:pt>
                <c:pt idx="43">
                  <c:v>-5.3687398308445822</c:v>
                </c:pt>
                <c:pt idx="44">
                  <c:v>-5.3601927702661243</c:v>
                </c:pt>
                <c:pt idx="45">
                  <c:v>-5.3475076107388082</c:v>
                </c:pt>
                <c:pt idx="46">
                  <c:v>-5.3580673709538109</c:v>
                </c:pt>
                <c:pt idx="47">
                  <c:v>-5.3623226965239486</c:v>
                </c:pt>
                <c:pt idx="48">
                  <c:v>-5.3580673709538109</c:v>
                </c:pt>
                <c:pt idx="49">
                  <c:v>-5.3623226965239486</c:v>
                </c:pt>
                <c:pt idx="50">
                  <c:v>-5.3751984108839945</c:v>
                </c:pt>
                <c:pt idx="51">
                  <c:v>-5.3730409127439733</c:v>
                </c:pt>
                <c:pt idx="52">
                  <c:v>-5.3580673709538109</c:v>
                </c:pt>
                <c:pt idx="53">
                  <c:v>-5.3751984108839945</c:v>
                </c:pt>
                <c:pt idx="54">
                  <c:v>-5.3623226965239486</c:v>
                </c:pt>
                <c:pt idx="55">
                  <c:v>-5.3623226965239486</c:v>
                </c:pt>
                <c:pt idx="56">
                  <c:v>-5.3860562808560433</c:v>
                </c:pt>
                <c:pt idx="57">
                  <c:v>-5.3730409127439733</c:v>
                </c:pt>
                <c:pt idx="58">
                  <c:v>-5.3970333394871943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ED2-4078-A12B-E136952B7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7125487"/>
        <c:axId val="747122127"/>
      </c:scatterChart>
      <c:valAx>
        <c:axId val="747125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2127"/>
        <c:crosses val="autoZero"/>
        <c:crossBetween val="midCat"/>
      </c:valAx>
      <c:valAx>
        <c:axId val="747122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7125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555625</xdr:colOff>
      <xdr:row>12</xdr:row>
      <xdr:rowOff>95250</xdr:rowOff>
    </xdr:from>
    <xdr:to>
      <xdr:col>15</xdr:col>
      <xdr:colOff>250825</xdr:colOff>
      <xdr:row>27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75F146D-C98A-33AA-17F4-7D4F924A83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219075</xdr:colOff>
      <xdr:row>28</xdr:row>
      <xdr:rowOff>12700</xdr:rowOff>
    </xdr:from>
    <xdr:to>
      <xdr:col>13</xdr:col>
      <xdr:colOff>523875</xdr:colOff>
      <xdr:row>42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F054118-001D-1D73-F865-B102D3F085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498475</xdr:colOff>
      <xdr:row>12</xdr:row>
      <xdr:rowOff>50800</xdr:rowOff>
    </xdr:from>
    <xdr:to>
      <xdr:col>23</xdr:col>
      <xdr:colOff>193675</xdr:colOff>
      <xdr:row>27</xdr:row>
      <xdr:rowOff>31750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C2B5A9-19D3-0CAE-9553-14E75E5EE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111125</xdr:colOff>
      <xdr:row>27</xdr:row>
      <xdr:rowOff>177800</xdr:rowOff>
    </xdr:from>
    <xdr:to>
      <xdr:col>21</xdr:col>
      <xdr:colOff>415925</xdr:colOff>
      <xdr:row>42</xdr:row>
      <xdr:rowOff>158750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2F04A5A-7AC1-F475-3F93-EC1BA8FF34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11</xdr:row>
      <xdr:rowOff>51435</xdr:rowOff>
    </xdr:from>
    <xdr:to>
      <xdr:col>11</xdr:col>
      <xdr:colOff>255270</xdr:colOff>
      <xdr:row>27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C5DB17-DAF0-7964-9CE8-340BE03F2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111125</xdr:colOff>
      <xdr:row>12</xdr:row>
      <xdr:rowOff>19050</xdr:rowOff>
    </xdr:from>
    <xdr:to>
      <xdr:col>23</xdr:col>
      <xdr:colOff>415925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5BF919E-D83C-A8CC-8B1A-9C519A273A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12</xdr:row>
      <xdr:rowOff>50800</xdr:rowOff>
    </xdr:from>
    <xdr:to>
      <xdr:col>15</xdr:col>
      <xdr:colOff>501650</xdr:colOff>
      <xdr:row>27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16C8E5-CF13-48F6-BBE1-E1096465A2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415924</xdr:colOff>
      <xdr:row>27</xdr:row>
      <xdr:rowOff>127000</xdr:rowOff>
    </xdr:from>
    <xdr:to>
      <xdr:col>15</xdr:col>
      <xdr:colOff>69849</xdr:colOff>
      <xdr:row>42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99E99C1-9F62-A036-6AD6-42F484920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98425</xdr:colOff>
      <xdr:row>27</xdr:row>
      <xdr:rowOff>101600</xdr:rowOff>
    </xdr:from>
    <xdr:to>
      <xdr:col>23</xdr:col>
      <xdr:colOff>403225</xdr:colOff>
      <xdr:row>42</xdr:row>
      <xdr:rowOff>82550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F2BB848-6C15-44F4-E921-544EF93FD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120651</xdr:colOff>
      <xdr:row>11</xdr:row>
      <xdr:rowOff>92710</xdr:rowOff>
    </xdr:from>
    <xdr:to>
      <xdr:col>11</xdr:col>
      <xdr:colOff>93982</xdr:colOff>
      <xdr:row>27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406928-7626-468F-8C79-9A7AABA0B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5</xdr:row>
      <xdr:rowOff>19050</xdr:rowOff>
    </xdr:from>
    <xdr:to>
      <xdr:col>13</xdr:col>
      <xdr:colOff>643890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655343-51D4-442D-F4BD-DD4C5C279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79375</xdr:colOff>
      <xdr:row>23</xdr:row>
      <xdr:rowOff>12700</xdr:rowOff>
    </xdr:from>
    <xdr:to>
      <xdr:col>6</xdr:col>
      <xdr:colOff>450850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9EF8B9-F988-3CF9-70A4-D326ECE4C9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5</xdr:row>
      <xdr:rowOff>19050</xdr:rowOff>
    </xdr:from>
    <xdr:to>
      <xdr:col>13</xdr:col>
      <xdr:colOff>643890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BC6B8D-6CEA-499E-966B-0962C3FCC6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</xdr:colOff>
      <xdr:row>5</xdr:row>
      <xdr:rowOff>80010</xdr:rowOff>
    </xdr:from>
    <xdr:to>
      <xdr:col>11</xdr:col>
      <xdr:colOff>64770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D416CC-F1E5-D1E1-5A80-ED57C0B324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22</xdr:row>
      <xdr:rowOff>34290</xdr:rowOff>
    </xdr:from>
    <xdr:to>
      <xdr:col>11</xdr:col>
      <xdr:colOff>240030</xdr:colOff>
      <xdr:row>37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09435E-3910-5B82-079A-0CCB6E5B82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186690</xdr:colOff>
      <xdr:row>5</xdr:row>
      <xdr:rowOff>80010</xdr:rowOff>
    </xdr:from>
    <xdr:to>
      <xdr:col>11</xdr:col>
      <xdr:colOff>64770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9EBDE1-9EF3-46BE-BE31-C94D026233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361950</xdr:colOff>
      <xdr:row>22</xdr:row>
      <xdr:rowOff>34290</xdr:rowOff>
    </xdr:from>
    <xdr:to>
      <xdr:col>11</xdr:col>
      <xdr:colOff>240030</xdr:colOff>
      <xdr:row>37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1EE28B-916F-4387-9643-651494520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567690</xdr:colOff>
      <xdr:row>5</xdr:row>
      <xdr:rowOff>13335</xdr:rowOff>
    </xdr:from>
    <xdr:to>
      <xdr:col>13</xdr:col>
      <xdr:colOff>445770</xdr:colOff>
      <xdr:row>20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6D4C1E-DEBF-4A77-B559-84C7C8D88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266700</xdr:colOff>
      <xdr:row>24</xdr:row>
      <xdr:rowOff>186690</xdr:rowOff>
    </xdr:from>
    <xdr:to>
      <xdr:col>13</xdr:col>
      <xdr:colOff>754380</xdr:colOff>
      <xdr:row>40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E1C1EE-BCB9-4B25-ADFF-D92E44DC1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96BA4-CAF5-4E1B-BBAA-361FCD1D2D83}">
  <dimension ref="A1:P27"/>
  <sheetViews>
    <sheetView tabSelected="1" workbookViewId="0">
      <selection activeCell="C17" sqref="C17"/>
    </sheetView>
  </sheetViews>
  <sheetFormatPr defaultRowHeight="14.5" x14ac:dyDescent="0.35"/>
  <cols>
    <col min="2" max="2" width="18" customWidth="1"/>
    <col min="3" max="3" width="11.81640625" bestFit="1" customWidth="1"/>
    <col min="6" max="6" width="17.54296875" customWidth="1"/>
    <col min="7" max="7" width="14.453125" customWidth="1"/>
    <col min="12" max="12" width="9.90625" customWidth="1"/>
    <col min="16" max="16" width="9.453125" customWidth="1"/>
  </cols>
  <sheetData>
    <row r="1" spans="1:16" x14ac:dyDescent="0.35">
      <c r="A1" t="s">
        <v>55</v>
      </c>
      <c r="E1" t="s">
        <v>58</v>
      </c>
      <c r="I1" t="s">
        <v>59</v>
      </c>
      <c r="M1" t="s">
        <v>60</v>
      </c>
    </row>
    <row r="2" spans="1:16" x14ac:dyDescent="0.35">
      <c r="A2" s="3" t="s">
        <v>2</v>
      </c>
      <c r="B2" s="4" t="s">
        <v>3</v>
      </c>
      <c r="C2" s="3" t="s">
        <v>6</v>
      </c>
      <c r="D2" s="4" t="s">
        <v>7</v>
      </c>
      <c r="E2" s="3" t="s">
        <v>2</v>
      </c>
      <c r="F2" s="4" t="s">
        <v>2</v>
      </c>
      <c r="G2" s="3" t="s">
        <v>6</v>
      </c>
      <c r="H2" s="4" t="s">
        <v>7</v>
      </c>
      <c r="I2" s="6" t="s">
        <v>24</v>
      </c>
      <c r="J2" s="6" t="s">
        <v>23</v>
      </c>
      <c r="K2" t="s">
        <v>19</v>
      </c>
      <c r="L2" t="s">
        <v>20</v>
      </c>
      <c r="M2" s="6" t="s">
        <v>24</v>
      </c>
      <c r="N2" s="6" t="s">
        <v>23</v>
      </c>
      <c r="O2" t="s">
        <v>19</v>
      </c>
      <c r="P2" t="s">
        <v>20</v>
      </c>
    </row>
    <row r="3" spans="1:16" x14ac:dyDescent="0.35">
      <c r="A3">
        <v>30.151134457776362</v>
      </c>
      <c r="B3">
        <v>1.3705061117171073</v>
      </c>
      <c r="C3" s="1">
        <v>0.02</v>
      </c>
      <c r="D3" s="1">
        <v>1E-4</v>
      </c>
      <c r="E3" s="1">
        <v>30.151134457776362</v>
      </c>
      <c r="F3" s="1">
        <v>1.3705061117171073</v>
      </c>
      <c r="G3" s="1">
        <v>0.02</v>
      </c>
      <c r="H3" s="1">
        <v>1E-4</v>
      </c>
      <c r="I3">
        <v>0</v>
      </c>
      <c r="J3">
        <v>1</v>
      </c>
      <c r="K3">
        <v>1.0543120297715298</v>
      </c>
      <c r="L3">
        <v>3.4843205574912892E-3</v>
      </c>
      <c r="M3">
        <v>0</v>
      </c>
      <c r="N3">
        <v>1</v>
      </c>
      <c r="O3">
        <v>1.085189268335969</v>
      </c>
      <c r="P3">
        <v>3.3783783783783786E-3</v>
      </c>
    </row>
    <row r="4" spans="1:16" x14ac:dyDescent="0.35">
      <c r="A4">
        <v>27.73500981126146</v>
      </c>
      <c r="B4">
        <v>1.0667311465869793</v>
      </c>
      <c r="C4" s="1">
        <v>1.7999999999999999E-2</v>
      </c>
      <c r="D4" s="1">
        <v>1E-4</v>
      </c>
      <c r="E4" s="1">
        <v>28.867513459481287</v>
      </c>
      <c r="F4" s="1">
        <v>1.2028130608117205</v>
      </c>
      <c r="G4" s="1">
        <v>1.7999999999999999E-2</v>
      </c>
      <c r="H4" s="1">
        <v>1E-4</v>
      </c>
      <c r="I4">
        <v>30</v>
      </c>
      <c r="J4">
        <v>1</v>
      </c>
      <c r="K4">
        <v>1.0043016091968684</v>
      </c>
      <c r="L4">
        <v>3.663003663003663E-3</v>
      </c>
      <c r="M4">
        <v>30</v>
      </c>
      <c r="N4">
        <v>1</v>
      </c>
      <c r="O4">
        <v>1.0647107369924282</v>
      </c>
      <c r="P4">
        <v>3.4482758620689659E-3</v>
      </c>
    </row>
    <row r="5" spans="1:16" x14ac:dyDescent="0.35">
      <c r="A5">
        <v>26.726124191242437</v>
      </c>
      <c r="B5">
        <v>0.95450443540151575</v>
      </c>
      <c r="C5" s="1">
        <v>1.6E-2</v>
      </c>
      <c r="D5" s="1">
        <v>1E-4</v>
      </c>
      <c r="E5" s="1">
        <v>27.73500981126146</v>
      </c>
      <c r="F5" s="1">
        <v>1.0667311465869793</v>
      </c>
      <c r="G5" s="1">
        <v>1.6E-2</v>
      </c>
      <c r="H5" s="1">
        <v>1E-4</v>
      </c>
      <c r="I5">
        <v>60</v>
      </c>
      <c r="J5">
        <v>1</v>
      </c>
      <c r="K5">
        <v>0.97077891715822484</v>
      </c>
      <c r="L5">
        <v>3.787878787878788E-3</v>
      </c>
      <c r="M5">
        <v>60</v>
      </c>
      <c r="N5">
        <v>1</v>
      </c>
      <c r="O5">
        <v>1.0402767116551463</v>
      </c>
      <c r="P5">
        <v>3.5335689045936395E-3</v>
      </c>
    </row>
    <row r="6" spans="1:16" x14ac:dyDescent="0.35">
      <c r="A6">
        <v>25.819888974716111</v>
      </c>
      <c r="B6">
        <v>0.86066296582387036</v>
      </c>
      <c r="C6" s="1">
        <v>1.4E-2</v>
      </c>
      <c r="D6" s="1">
        <v>1E-4</v>
      </c>
      <c r="E6" s="1">
        <v>26.726124191242437</v>
      </c>
      <c r="F6" s="1">
        <v>0.95450443540151575</v>
      </c>
      <c r="G6" s="1">
        <v>1.4E-2</v>
      </c>
      <c r="H6" s="1">
        <v>1E-4</v>
      </c>
      <c r="I6">
        <v>90</v>
      </c>
      <c r="J6">
        <v>1</v>
      </c>
      <c r="K6">
        <v>0.94000725849147115</v>
      </c>
      <c r="L6">
        <v>3.90625E-3</v>
      </c>
      <c r="M6">
        <v>90</v>
      </c>
      <c r="N6">
        <v>1</v>
      </c>
      <c r="O6">
        <v>1.0116009116784799</v>
      </c>
      <c r="P6">
        <v>3.6363636363636364E-3</v>
      </c>
    </row>
    <row r="7" spans="1:16" x14ac:dyDescent="0.35">
      <c r="A7">
        <v>24.253562503633297</v>
      </c>
      <c r="B7">
        <v>0.7133400736362735</v>
      </c>
      <c r="C7" s="1">
        <v>1.2E-2</v>
      </c>
      <c r="D7" s="1">
        <v>1E-4</v>
      </c>
      <c r="E7" s="1">
        <v>25</v>
      </c>
      <c r="F7" s="1">
        <v>0.78125</v>
      </c>
      <c r="G7" s="1">
        <v>1.2E-2</v>
      </c>
      <c r="H7" s="1">
        <v>1E-4</v>
      </c>
      <c r="I7">
        <v>120</v>
      </c>
      <c r="J7">
        <v>1</v>
      </c>
      <c r="K7">
        <v>0.89608802455663572</v>
      </c>
      <c r="L7">
        <v>4.081632653061224E-3</v>
      </c>
      <c r="M7">
        <v>120</v>
      </c>
      <c r="N7">
        <v>1</v>
      </c>
      <c r="O7">
        <v>0.98581679452276538</v>
      </c>
      <c r="P7">
        <v>3.7313432835820895E-3</v>
      </c>
    </row>
    <row r="8" spans="1:16" x14ac:dyDescent="0.35">
      <c r="A8">
        <v>22.360679774997898</v>
      </c>
      <c r="B8">
        <v>0.55901699437494745</v>
      </c>
      <c r="C8" s="1">
        <v>0.01</v>
      </c>
      <c r="D8" s="1">
        <v>1E-4</v>
      </c>
      <c r="E8" s="1">
        <v>22.941573387056177</v>
      </c>
      <c r="F8" s="1">
        <v>0.60372561544884684</v>
      </c>
      <c r="G8" s="1">
        <v>0.01</v>
      </c>
      <c r="H8" s="1">
        <v>1E-4</v>
      </c>
      <c r="I8">
        <v>150</v>
      </c>
      <c r="J8">
        <v>1</v>
      </c>
      <c r="K8">
        <v>0.87546873735389985</v>
      </c>
      <c r="L8">
        <v>4.1666666666666666E-3</v>
      </c>
      <c r="M8">
        <v>150</v>
      </c>
      <c r="N8">
        <v>1</v>
      </c>
      <c r="O8">
        <v>0.96317431777300555</v>
      </c>
      <c r="P8">
        <v>3.8167938931297708E-3</v>
      </c>
    </row>
    <row r="9" spans="1:16" x14ac:dyDescent="0.35">
      <c r="A9">
        <v>19.611613513818405</v>
      </c>
      <c r="B9">
        <v>0.37714641372727703</v>
      </c>
      <c r="C9" s="1">
        <v>8.0000000000000002E-3</v>
      </c>
      <c r="D9" s="1">
        <v>1E-4</v>
      </c>
      <c r="E9" s="1">
        <v>20.412414523193153</v>
      </c>
      <c r="F9" s="1">
        <v>0.42525863589985741</v>
      </c>
      <c r="G9" s="1">
        <v>8.0000000000000002E-3</v>
      </c>
      <c r="H9" s="1">
        <v>1E-4</v>
      </c>
      <c r="I9">
        <v>180</v>
      </c>
      <c r="J9">
        <v>1</v>
      </c>
      <c r="K9">
        <v>0.84586826757760925</v>
      </c>
      <c r="L9">
        <v>4.2918454935622317E-3</v>
      </c>
      <c r="M9">
        <v>180</v>
      </c>
      <c r="N9">
        <v>1</v>
      </c>
      <c r="O9">
        <v>0.92821930273942876</v>
      </c>
      <c r="P9">
        <v>3.9525691699604749E-3</v>
      </c>
    </row>
    <row r="10" spans="1:16" x14ac:dyDescent="0.35">
      <c r="A10">
        <v>17.960530202677489</v>
      </c>
      <c r="B10">
        <v>0.2896859710109273</v>
      </c>
      <c r="C10" s="1">
        <v>6.0000000000000001E-3</v>
      </c>
      <c r="D10" s="1">
        <v>1E-4</v>
      </c>
      <c r="E10" s="1">
        <v>17.960530202677489</v>
      </c>
      <c r="F10" s="1">
        <v>0.2896859710109273</v>
      </c>
      <c r="G10" s="1">
        <v>6.0000000000000001E-3</v>
      </c>
      <c r="H10" s="1">
        <v>1E-4</v>
      </c>
      <c r="I10">
        <v>210</v>
      </c>
      <c r="J10">
        <v>1</v>
      </c>
      <c r="K10">
        <v>0.81977983149331135</v>
      </c>
      <c r="L10">
        <v>4.4052863436123352E-3</v>
      </c>
      <c r="M10">
        <v>210</v>
      </c>
      <c r="N10">
        <v>1</v>
      </c>
      <c r="O10">
        <v>0.91228271047661635</v>
      </c>
      <c r="P10">
        <v>4.0160642570281121E-3</v>
      </c>
    </row>
    <row r="11" spans="1:16" x14ac:dyDescent="0.35">
      <c r="A11">
        <v>15.43033499620919</v>
      </c>
      <c r="B11">
        <v>0.18369446424058558</v>
      </c>
      <c r="C11" s="1">
        <v>4.0000000000000001E-3</v>
      </c>
      <c r="D11" s="1">
        <v>1E-4</v>
      </c>
      <c r="E11" s="1">
        <v>15.811388300841898</v>
      </c>
      <c r="F11" s="1">
        <v>0.19764235376052375</v>
      </c>
      <c r="G11" s="1">
        <v>4.0000000000000001E-3</v>
      </c>
      <c r="H11" s="1">
        <v>1E-4</v>
      </c>
      <c r="I11">
        <v>240</v>
      </c>
      <c r="J11">
        <v>1</v>
      </c>
      <c r="K11">
        <v>0.78845736036427028</v>
      </c>
      <c r="L11">
        <v>4.5454545454545452E-3</v>
      </c>
      <c r="M11">
        <v>240</v>
      </c>
      <c r="N11">
        <v>1</v>
      </c>
      <c r="O11">
        <v>0.90016134994427144</v>
      </c>
      <c r="P11">
        <v>4.0650406504065045E-3</v>
      </c>
    </row>
    <row r="12" spans="1:16" x14ac:dyDescent="0.35">
      <c r="A12" t="s">
        <v>56</v>
      </c>
      <c r="B12" t="s">
        <v>57</v>
      </c>
      <c r="E12" t="s">
        <v>56</v>
      </c>
      <c r="F12" t="s">
        <v>57</v>
      </c>
      <c r="I12">
        <v>270</v>
      </c>
      <c r="J12">
        <v>1</v>
      </c>
      <c r="K12">
        <v>0.75141608868392118</v>
      </c>
      <c r="L12">
        <v>4.7169811320754715E-3</v>
      </c>
      <c r="M12">
        <v>270</v>
      </c>
      <c r="N12">
        <v>1</v>
      </c>
      <c r="O12">
        <v>0.87129336594341933</v>
      </c>
      <c r="P12">
        <v>4.1841004184100415E-3</v>
      </c>
    </row>
    <row r="13" spans="1:16" x14ac:dyDescent="0.35">
      <c r="A13" s="2">
        <v>2.4300000000000003E-8</v>
      </c>
      <c r="B13" s="2">
        <v>1.5736025546496807E-9</v>
      </c>
      <c r="E13" s="2">
        <v>2.4999999999999999E-8</v>
      </c>
      <c r="F13" s="2">
        <v>1.6007810593582122E-9</v>
      </c>
      <c r="I13">
        <v>300</v>
      </c>
      <c r="J13">
        <v>1</v>
      </c>
      <c r="K13">
        <v>0.72754860727727766</v>
      </c>
      <c r="L13">
        <v>4.8309178743961359E-3</v>
      </c>
      <c r="M13">
        <v>300</v>
      </c>
      <c r="N13">
        <v>1</v>
      </c>
      <c r="O13">
        <v>0.84586826757760925</v>
      </c>
      <c r="P13">
        <v>4.2918454935622317E-3</v>
      </c>
    </row>
    <row r="15" spans="1:16" x14ac:dyDescent="0.35">
      <c r="A15" s="2"/>
      <c r="B15" s="2"/>
      <c r="E15" s="2"/>
      <c r="F15" s="2"/>
    </row>
    <row r="17" spans="4:6" x14ac:dyDescent="0.35">
      <c r="E17" s="1"/>
      <c r="F17" s="1"/>
    </row>
    <row r="18" spans="4:6" x14ac:dyDescent="0.35">
      <c r="E18" s="1"/>
      <c r="F18" s="1"/>
    </row>
    <row r="19" spans="4:6" x14ac:dyDescent="0.35">
      <c r="D19" s="1"/>
      <c r="E19" s="1"/>
      <c r="F19" s="1"/>
    </row>
    <row r="20" spans="4:6" x14ac:dyDescent="0.35">
      <c r="D20" s="1"/>
      <c r="E20" s="1"/>
      <c r="F20" s="1"/>
    </row>
    <row r="21" spans="4:6" x14ac:dyDescent="0.35">
      <c r="D21" s="1"/>
      <c r="E21" s="1"/>
      <c r="F21" s="1"/>
    </row>
    <row r="22" spans="4:6" x14ac:dyDescent="0.35">
      <c r="D22" s="1"/>
      <c r="E22" s="1"/>
      <c r="F22" s="1"/>
    </row>
    <row r="23" spans="4:6" x14ac:dyDescent="0.35">
      <c r="D23" s="1"/>
      <c r="E23" s="1"/>
      <c r="F23" s="1"/>
    </row>
    <row r="24" spans="4:6" x14ac:dyDescent="0.35">
      <c r="D24" s="1"/>
      <c r="E24" s="1"/>
      <c r="F24" s="1"/>
    </row>
    <row r="25" spans="4:6" x14ac:dyDescent="0.35">
      <c r="D25" s="1"/>
      <c r="E25" s="1"/>
      <c r="F25" s="1"/>
    </row>
    <row r="26" spans="4:6" x14ac:dyDescent="0.35">
      <c r="D26" s="1"/>
    </row>
    <row r="27" spans="4:6" x14ac:dyDescent="0.35">
      <c r="D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AEC0-D60E-45A7-AD29-0B5C14B0300F}">
  <dimension ref="A1:W32"/>
  <sheetViews>
    <sheetView workbookViewId="0">
      <selection activeCell="E23" sqref="E23"/>
    </sheetView>
  </sheetViews>
  <sheetFormatPr defaultRowHeight="14.5" x14ac:dyDescent="0.35"/>
  <sheetData>
    <row r="1" spans="1:23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J1" s="3"/>
      <c r="K1" s="4" t="s">
        <v>8</v>
      </c>
      <c r="L1" s="4" t="s">
        <v>9</v>
      </c>
      <c r="M1" s="4" t="s">
        <v>10</v>
      </c>
      <c r="N1" s="4" t="s">
        <v>11</v>
      </c>
      <c r="P1" s="3" t="s">
        <v>12</v>
      </c>
      <c r="Q1" s="3" t="s">
        <v>13</v>
      </c>
      <c r="R1" s="9" t="s">
        <v>53</v>
      </c>
      <c r="S1" s="8" t="s">
        <v>52</v>
      </c>
    </row>
    <row r="2" spans="1:23" x14ac:dyDescent="0.35">
      <c r="A2" s="1">
        <f>1.1/1000</f>
        <v>1.1000000000000001E-3</v>
      </c>
      <c r="B2" s="1">
        <f>0.1/1000</f>
        <v>1E-4</v>
      </c>
      <c r="C2" s="1">
        <f>A2^(-1/2)</f>
        <v>30.151134457776362</v>
      </c>
      <c r="D2" s="1">
        <f>ABS(C2 * (-1/2) * (B2/A2))</f>
        <v>1.3705061117171073</v>
      </c>
      <c r="E2" s="1">
        <v>20</v>
      </c>
      <c r="F2" s="1">
        <v>0.1</v>
      </c>
      <c r="G2" s="1">
        <f>E2/1000</f>
        <v>0.02</v>
      </c>
      <c r="H2" s="1">
        <f>F2/1000</f>
        <v>1E-4</v>
      </c>
      <c r="J2" s="1">
        <v>1</v>
      </c>
      <c r="K2" s="1">
        <v>2.2000000000000002</v>
      </c>
      <c r="L2" s="1">
        <v>0.1</v>
      </c>
      <c r="M2" s="2">
        <f>P$2 * K2</f>
        <v>2.2000000000000002E-8</v>
      </c>
      <c r="N2" s="2">
        <f>M2 * ((Q$2/P$2)^2 + (L2/K2)^2)^(1/2)</f>
        <v>1.4866068747318507E-9</v>
      </c>
      <c r="P2" s="2">
        <v>1E-8</v>
      </c>
      <c r="Q2" s="2">
        <v>5.0000000000000003E-10</v>
      </c>
      <c r="R2">
        <f>D14-(441.23*E14-9.0915)</f>
        <v>-0.24745054222363905</v>
      </c>
      <c r="S2">
        <f>D14-(538.92*F14-12.546)</f>
        <v>-0.16426140963774216</v>
      </c>
    </row>
    <row r="3" spans="1:23" x14ac:dyDescent="0.35">
      <c r="A3" s="1">
        <f>1.3/1000</f>
        <v>1.2999999999999999E-3</v>
      </c>
      <c r="B3" s="1">
        <f t="shared" ref="B3:B10" si="0">0.1/1000</f>
        <v>1E-4</v>
      </c>
      <c r="C3" s="1">
        <f t="shared" ref="C3:C10" si="1">A3^(-1/2)</f>
        <v>27.73500981126146</v>
      </c>
      <c r="D3" s="1">
        <f t="shared" ref="D3:D10" si="2">C3 * (-1/2) * (B3/A3)</f>
        <v>-1.0667311465869793</v>
      </c>
      <c r="E3" s="1">
        <v>18</v>
      </c>
      <c r="F3" s="1">
        <v>0.1</v>
      </c>
      <c r="G3" s="1">
        <f t="shared" ref="G3:H10" si="3">E3/1000</f>
        <v>1.7999999999999999E-2</v>
      </c>
      <c r="H3" s="1">
        <f t="shared" si="3"/>
        <v>1E-4</v>
      </c>
      <c r="J3" s="1">
        <v>2</v>
      </c>
      <c r="K3" s="1">
        <v>2.2400000000000002</v>
      </c>
      <c r="L3" s="1">
        <v>0.1</v>
      </c>
      <c r="M3" s="2">
        <f>P$2 * K3</f>
        <v>2.2400000000000002E-8</v>
      </c>
      <c r="N3" s="2">
        <f>M3 * ((Q$2/P$2)^2 + (L3/K3)^2)^(1/2)</f>
        <v>1.5014659503298769E-9</v>
      </c>
      <c r="R3">
        <f t="shared" ref="R3:R10" si="4">D15-(441.23*E15-9.0915)</f>
        <v>-0.89865518873853745</v>
      </c>
      <c r="S3">
        <f t="shared" ref="S3:S10" si="5">D15-(538.92*F15-12.546)</f>
        <v>-0.8814461844435364</v>
      </c>
    </row>
    <row r="4" spans="1:23" x14ac:dyDescent="0.35">
      <c r="A4" s="1">
        <f>1.4/1000</f>
        <v>1.4E-3</v>
      </c>
      <c r="B4" s="1">
        <f t="shared" si="0"/>
        <v>1E-4</v>
      </c>
      <c r="C4" s="1">
        <f t="shared" si="1"/>
        <v>26.726124191242437</v>
      </c>
      <c r="D4" s="1">
        <f t="shared" si="2"/>
        <v>-0.95450443540151575</v>
      </c>
      <c r="E4" s="1">
        <v>16</v>
      </c>
      <c r="F4" s="1">
        <v>0.1</v>
      </c>
      <c r="G4" s="1">
        <f t="shared" si="3"/>
        <v>1.6E-2</v>
      </c>
      <c r="H4" s="1">
        <f t="shared" si="3"/>
        <v>1E-4</v>
      </c>
      <c r="J4" s="1">
        <v>3</v>
      </c>
      <c r="K4" s="1">
        <v>2.2400000000000002</v>
      </c>
      <c r="L4" s="1">
        <v>0.1</v>
      </c>
      <c r="M4" s="2">
        <f>P$2 * K4</f>
        <v>2.2400000000000002E-8</v>
      </c>
      <c r="N4" s="2">
        <f>M4 * ((Q$2/P$2)^2 + (L4/K4)^2)^(1/2)</f>
        <v>1.5014659503298769E-9</v>
      </c>
      <c r="R4">
        <f t="shared" si="4"/>
        <v>-0.14262080875756311</v>
      </c>
      <c r="S4">
        <f t="shared" si="5"/>
        <v>-0.17221301362136998</v>
      </c>
      <c r="U4">
        <f t="array" ref="U4:V5">LINEST(D14:D22,F14:F22,1,1)</f>
        <v>538.92490629766166</v>
      </c>
      <c r="V4">
        <v>-12.546004458444578</v>
      </c>
      <c r="W4" s="5">
        <f>(C31*M5)^2*EXP(N10*(2*G2+K8)/K10)/(4*PI())</f>
        <v>1.0776981598506333E-11</v>
      </c>
    </row>
    <row r="5" spans="1:23" x14ac:dyDescent="0.35">
      <c r="A5" s="1">
        <f>1.5/1000</f>
        <v>1.5E-3</v>
      </c>
      <c r="B5" s="1">
        <f t="shared" si="0"/>
        <v>1E-4</v>
      </c>
      <c r="C5" s="1">
        <f t="shared" si="1"/>
        <v>25.819888974716111</v>
      </c>
      <c r="D5" s="1">
        <f t="shared" si="2"/>
        <v>-0.86066296582387036</v>
      </c>
      <c r="E5" s="1">
        <v>14</v>
      </c>
      <c r="F5" s="1">
        <v>0.1</v>
      </c>
      <c r="G5" s="1">
        <f t="shared" si="3"/>
        <v>1.4E-2</v>
      </c>
      <c r="H5" s="1">
        <f t="shared" si="3"/>
        <v>1E-4</v>
      </c>
      <c r="J5" s="1" t="s">
        <v>14</v>
      </c>
      <c r="K5" s="1">
        <v>2.4300000000000002</v>
      </c>
      <c r="L5" s="1">
        <v>0.1</v>
      </c>
      <c r="M5" s="2">
        <f>P$2 * K5</f>
        <v>2.4300000000000003E-8</v>
      </c>
      <c r="N5" s="2">
        <f>M5 * ((Q$2/P$2)^2 + (L5/K5)^2)^(1/2)</f>
        <v>1.5736025546496807E-9</v>
      </c>
      <c r="R5">
        <f t="shared" si="4"/>
        <v>0.71606397471610705</v>
      </c>
      <c r="S5">
        <f t="shared" si="5"/>
        <v>0.65900487434617716</v>
      </c>
      <c r="U5">
        <v>26.358412218399405</v>
      </c>
      <c r="V5">
        <v>1.7692286504005377</v>
      </c>
    </row>
    <row r="6" spans="1:23" x14ac:dyDescent="0.35">
      <c r="A6" s="1">
        <f>1.7/1000</f>
        <v>1.6999999999999999E-3</v>
      </c>
      <c r="B6" s="1">
        <f t="shared" si="0"/>
        <v>1E-4</v>
      </c>
      <c r="C6" s="1">
        <f t="shared" si="1"/>
        <v>24.253562503633297</v>
      </c>
      <c r="D6" s="1">
        <f t="shared" si="2"/>
        <v>-0.7133400736362735</v>
      </c>
      <c r="E6" s="1">
        <v>12</v>
      </c>
      <c r="F6" s="1">
        <v>0.1</v>
      </c>
      <c r="G6" s="1">
        <f t="shared" si="3"/>
        <v>1.2E-2</v>
      </c>
      <c r="H6" s="1">
        <f t="shared" si="3"/>
        <v>1E-4</v>
      </c>
      <c r="R6">
        <f t="shared" si="4"/>
        <v>0.91465750363328979</v>
      </c>
      <c r="S6">
        <f t="shared" si="5"/>
        <v>0.84962232343128363</v>
      </c>
    </row>
    <row r="7" spans="1:23" x14ac:dyDescent="0.35">
      <c r="A7" s="1">
        <f>2/1000</f>
        <v>2E-3</v>
      </c>
      <c r="B7" s="1">
        <f t="shared" si="0"/>
        <v>1E-4</v>
      </c>
      <c r="C7" s="1">
        <f>A7^(-1/2)</f>
        <v>22.360679774997898</v>
      </c>
      <c r="D7" s="1">
        <f>C7 * (-1/2) * (B7/A7)</f>
        <v>-0.55901699437494745</v>
      </c>
      <c r="E7" s="1">
        <v>10</v>
      </c>
      <c r="F7" s="1">
        <v>0.1</v>
      </c>
      <c r="G7" s="1">
        <f t="shared" si="3"/>
        <v>0.01</v>
      </c>
      <c r="H7" s="1">
        <f>F7/1000</f>
        <v>1E-4</v>
      </c>
      <c r="R7">
        <f t="shared" si="4"/>
        <v>0.78669477499789409</v>
      </c>
      <c r="S7">
        <f t="shared" si="5"/>
        <v>0.73333194752950703</v>
      </c>
      <c r="U7">
        <f t="array" ref="U7:V8">LINEST(D14:D22,E14:E22,1,1)</f>
        <v>441.22861344411223</v>
      </c>
      <c r="V7">
        <v>-9.0915388185497292</v>
      </c>
      <c r="W7" s="5">
        <f>(M5*U7)^2/(4*PI())</f>
        <v>9.1480813948204724E-12</v>
      </c>
    </row>
    <row r="8" spans="1:23" x14ac:dyDescent="0.35">
      <c r="A8" s="1">
        <f>2.6/1000</f>
        <v>2.5999999999999999E-3</v>
      </c>
      <c r="B8" s="1">
        <f t="shared" si="0"/>
        <v>1E-4</v>
      </c>
      <c r="C8" s="1">
        <f t="shared" si="1"/>
        <v>19.611613513818405</v>
      </c>
      <c r="D8" s="1">
        <f t="shared" si="2"/>
        <v>-0.37714641372727703</v>
      </c>
      <c r="E8" s="1">
        <v>8</v>
      </c>
      <c r="F8" s="1">
        <v>0.1</v>
      </c>
      <c r="G8" s="1">
        <f t="shared" si="3"/>
        <v>8.0000000000000002E-3</v>
      </c>
      <c r="H8" s="1">
        <f t="shared" si="3"/>
        <v>1E-4</v>
      </c>
      <c r="J8" t="s">
        <v>47</v>
      </c>
      <c r="K8">
        <v>4.9500000000000002E-2</v>
      </c>
      <c r="R8">
        <f t="shared" si="4"/>
        <v>-0.19745148618159902</v>
      </c>
      <c r="S8">
        <f t="shared" si="5"/>
        <v>-0.21933478917229365</v>
      </c>
      <c r="U8">
        <v>23.222464590078125</v>
      </c>
      <c r="V8">
        <v>1.7236195474994316</v>
      </c>
    </row>
    <row r="9" spans="1:23" x14ac:dyDescent="0.35">
      <c r="A9" s="1">
        <f>3.1/1000</f>
        <v>3.0999999999999999E-3</v>
      </c>
      <c r="B9" s="1">
        <f t="shared" si="0"/>
        <v>1E-4</v>
      </c>
      <c r="C9" s="1">
        <f t="shared" si="1"/>
        <v>17.960530202677489</v>
      </c>
      <c r="D9" s="1">
        <f t="shared" si="2"/>
        <v>-0.2896859710109273</v>
      </c>
      <c r="E9" s="1">
        <v>6</v>
      </c>
      <c r="F9" s="1">
        <v>0.1</v>
      </c>
      <c r="G9" s="1">
        <f t="shared" si="3"/>
        <v>6.0000000000000001E-3</v>
      </c>
      <c r="H9" s="1">
        <f t="shared" si="3"/>
        <v>1E-4</v>
      </c>
      <c r="N9" t="s">
        <v>18</v>
      </c>
      <c r="O9" t="s">
        <v>13</v>
      </c>
      <c r="R9">
        <f t="shared" si="4"/>
        <v>-8.3614797322510981E-2</v>
      </c>
      <c r="S9">
        <f t="shared" si="5"/>
        <v>-5.4051535162617625E-2</v>
      </c>
    </row>
    <row r="10" spans="1:23" x14ac:dyDescent="0.35">
      <c r="A10" s="1">
        <f>4.2/1000</f>
        <v>4.2000000000000006E-3</v>
      </c>
      <c r="B10" s="1">
        <f t="shared" si="0"/>
        <v>1E-4</v>
      </c>
      <c r="C10" s="1">
        <f t="shared" si="1"/>
        <v>15.43033499620919</v>
      </c>
      <c r="D10" s="1">
        <f t="shared" si="2"/>
        <v>-0.18369446424058558</v>
      </c>
      <c r="E10" s="1">
        <v>4</v>
      </c>
      <c r="F10" s="1">
        <v>0.1</v>
      </c>
      <c r="G10" s="1">
        <f t="shared" si="3"/>
        <v>4.0000000000000001E-3</v>
      </c>
      <c r="H10" s="1">
        <f t="shared" si="3"/>
        <v>1E-4</v>
      </c>
      <c r="J10" t="s">
        <v>50</v>
      </c>
      <c r="K10">
        <f>-0.002/5</f>
        <v>-4.0000000000000002E-4</v>
      </c>
      <c r="M10" t="s">
        <v>26</v>
      </c>
      <c r="N10">
        <v>1.0554540836000784E-3</v>
      </c>
      <c r="O10">
        <v>2.6288758891945693E-5</v>
      </c>
      <c r="R10">
        <f t="shared" si="4"/>
        <v>-0.84889000379081381</v>
      </c>
      <c r="S10">
        <f t="shared" si="5"/>
        <v>-0.747752129616849</v>
      </c>
    </row>
    <row r="11" spans="1:23" x14ac:dyDescent="0.35">
      <c r="J11" t="s">
        <v>44</v>
      </c>
      <c r="M11" t="s">
        <v>27</v>
      </c>
      <c r="N11">
        <v>8.020771113053098E-4</v>
      </c>
      <c r="O11">
        <v>1.7686156955097841E-5</v>
      </c>
    </row>
    <row r="12" spans="1:23" x14ac:dyDescent="0.35">
      <c r="M12" t="s">
        <v>29</v>
      </c>
      <c r="N12">
        <v>9.287655974526941E-4</v>
      </c>
      <c r="O12">
        <v>1.2668848614738428E-4</v>
      </c>
    </row>
    <row r="13" spans="1:23" x14ac:dyDescent="0.35">
      <c r="B13">
        <f>F14-E14</f>
        <v>-9.967980651276423E-3</v>
      </c>
      <c r="D13" s="3" t="s">
        <v>2</v>
      </c>
      <c r="E13" t="s">
        <v>49</v>
      </c>
      <c r="F13" t="s">
        <v>51</v>
      </c>
    </row>
    <row r="14" spans="1:23" x14ac:dyDescent="0.35">
      <c r="B14">
        <f t="shared" ref="B14:B21" si="6">F15-E15</f>
        <v>-9.1204705787408108E-3</v>
      </c>
      <c r="D14" s="1">
        <v>30.151134457776362</v>
      </c>
      <c r="E14">
        <f>2*G2+$K$8</f>
        <v>8.9499999999999996E-2</v>
      </c>
      <c r="F14">
        <f>E14*EXP($N$10*E14/(2*$K$10))</f>
        <v>7.9532019348723573E-2</v>
      </c>
      <c r="G14">
        <f>E14*EXP($N$10*(E14-$E$14)/(2*$K$10))</f>
        <v>8.9499999999999996E-2</v>
      </c>
    </row>
    <row r="15" spans="1:23" x14ac:dyDescent="0.35">
      <c r="B15">
        <f t="shared" si="6"/>
        <v>-8.3085481985010617E-3</v>
      </c>
      <c r="D15" s="1">
        <v>27.73500981126146</v>
      </c>
      <c r="E15">
        <f t="shared" ref="E15:E22" si="7">2*G3+$K$8</f>
        <v>8.5499999999999993E-2</v>
      </c>
      <c r="F15">
        <f t="shared" ref="F15:F22" si="8">E15*EXP($N$10*E15/(2*$K$10))</f>
        <v>7.6379529421259182E-2</v>
      </c>
      <c r="G15">
        <f t="shared" ref="G15:G22" si="9">E15*EXP($N$10*(E15-$E$14)/(2*$K$10))</f>
        <v>8.5952399287500425E-2</v>
      </c>
    </row>
    <row r="16" spans="1:23" x14ac:dyDescent="0.35">
      <c r="B16">
        <f t="shared" si="6"/>
        <v>-7.5325018548765416E-3</v>
      </c>
      <c r="D16" s="1">
        <v>26.726124191242437</v>
      </c>
      <c r="E16">
        <f t="shared" si="7"/>
        <v>8.1500000000000003E-2</v>
      </c>
      <c r="F16">
        <f t="shared" si="8"/>
        <v>7.3191451801498941E-2</v>
      </c>
      <c r="G16">
        <f t="shared" si="9"/>
        <v>8.2364750573119802E-2</v>
      </c>
    </row>
    <row r="17" spans="2:7" x14ac:dyDescent="0.35">
      <c r="B17">
        <f t="shared" si="6"/>
        <v>-6.7926219472240618E-3</v>
      </c>
      <c r="D17" s="1">
        <v>25.819888974716111</v>
      </c>
      <c r="E17">
        <f t="shared" si="7"/>
        <v>7.7499999999999999E-2</v>
      </c>
      <c r="F17">
        <f t="shared" si="8"/>
        <v>6.9967498145123458E-2</v>
      </c>
      <c r="G17">
        <f t="shared" si="9"/>
        <v>7.8736729373501721E-2</v>
      </c>
    </row>
    <row r="18" spans="2:7" x14ac:dyDescent="0.35">
      <c r="B18">
        <f t="shared" si="6"/>
        <v>-6.0892009436124273E-3</v>
      </c>
      <c r="D18" s="1">
        <v>24.253562503633297</v>
      </c>
      <c r="E18">
        <f t="shared" si="7"/>
        <v>7.350000000000001E-2</v>
      </c>
      <c r="F18">
        <f t="shared" si="8"/>
        <v>6.6707378052775948E-2</v>
      </c>
      <c r="G18">
        <f t="shared" si="9"/>
        <v>7.5068008892688415E-2</v>
      </c>
    </row>
    <row r="19" spans="2:7" x14ac:dyDescent="0.35">
      <c r="B19">
        <f t="shared" si="6"/>
        <v>-5.4225333945841711E-3</v>
      </c>
      <c r="D19" s="1">
        <v>22.360679774997898</v>
      </c>
      <c r="E19">
        <f t="shared" si="7"/>
        <v>6.9500000000000006E-2</v>
      </c>
      <c r="F19">
        <f t="shared" si="8"/>
        <v>6.3410799056387579E-2</v>
      </c>
      <c r="G19">
        <f t="shared" si="9"/>
        <v>7.1358260006732385E-2</v>
      </c>
    </row>
    <row r="20" spans="2:7" x14ac:dyDescent="0.35">
      <c r="B20">
        <f t="shared" si="6"/>
        <v>-4.7929159470049207E-3</v>
      </c>
      <c r="D20" s="1">
        <v>19.611613513818405</v>
      </c>
      <c r="E20">
        <f t="shared" si="7"/>
        <v>6.5500000000000003E-2</v>
      </c>
      <c r="F20">
        <f t="shared" si="8"/>
        <v>6.0077466605415832E-2</v>
      </c>
      <c r="G20">
        <f t="shared" si="9"/>
        <v>6.7607151248209985E-2</v>
      </c>
    </row>
    <row r="21" spans="2:7" x14ac:dyDescent="0.35">
      <c r="B21">
        <f>F22-E22</f>
        <v>-4.2006473580011167E-3</v>
      </c>
      <c r="D21" s="1">
        <v>17.960530202677489</v>
      </c>
      <c r="E21">
        <f t="shared" si="7"/>
        <v>6.1499999999999999E-2</v>
      </c>
      <c r="F21">
        <f t="shared" si="8"/>
        <v>5.6707084052995078E-2</v>
      </c>
      <c r="G21">
        <f t="shared" si="9"/>
        <v>6.3814348790636036E-2</v>
      </c>
    </row>
    <row r="22" spans="2:7" x14ac:dyDescent="0.35">
      <c r="D22" s="1">
        <v>15.43033499620919</v>
      </c>
      <c r="E22">
        <f t="shared" si="7"/>
        <v>5.7500000000000002E-2</v>
      </c>
      <c r="F22">
        <f t="shared" si="8"/>
        <v>5.3299352641998886E-2</v>
      </c>
      <c r="G22">
        <f t="shared" si="9"/>
        <v>5.9979516432779476E-2</v>
      </c>
    </row>
    <row r="26" spans="2:7" x14ac:dyDescent="0.35">
      <c r="B26" s="3"/>
      <c r="C26" s="3" t="s">
        <v>15</v>
      </c>
      <c r="D26" s="3" t="s">
        <v>16</v>
      </c>
      <c r="E26" s="4" t="s">
        <v>17</v>
      </c>
    </row>
    <row r="27" spans="2:7" x14ac:dyDescent="0.35">
      <c r="B27" s="1" t="s">
        <v>18</v>
      </c>
      <c r="C27" s="1">
        <v>882.457226888224</v>
      </c>
      <c r="D27" s="1">
        <v>12.749277546933827</v>
      </c>
      <c r="E27" s="2">
        <v>9.148089121880781E-12</v>
      </c>
    </row>
    <row r="28" spans="2:7" x14ac:dyDescent="0.35">
      <c r="B28" s="1" t="s">
        <v>13</v>
      </c>
      <c r="C28" s="1">
        <v>46.444929180156301</v>
      </c>
      <c r="D28" s="1">
        <v>0.60675401403244789</v>
      </c>
      <c r="E28" s="2">
        <v>1.5267795644191879E-12</v>
      </c>
    </row>
    <row r="30" spans="2:7" x14ac:dyDescent="0.35">
      <c r="B30" t="s">
        <v>54</v>
      </c>
      <c r="C30" t="s">
        <v>15</v>
      </c>
      <c r="D30" t="s">
        <v>16</v>
      </c>
      <c r="E30" t="s">
        <v>17</v>
      </c>
    </row>
    <row r="31" spans="2:7" x14ac:dyDescent="0.35">
      <c r="B31" t="s">
        <v>18</v>
      </c>
      <c r="C31">
        <f t="array" ref="C31:D32">LINEST(D14:D22,F14:F22,1,1)</f>
        <v>538.92490629766166</v>
      </c>
      <c r="D31">
        <v>-12.546004458444578</v>
      </c>
      <c r="E31" s="5">
        <f>(M5*C31)^2*EXP(N10*(2*G2+K8)/K10)/(4*PI())</f>
        <v>1.0776981598506333E-11</v>
      </c>
    </row>
    <row r="32" spans="2:7" x14ac:dyDescent="0.35">
      <c r="B32" t="s">
        <v>13</v>
      </c>
      <c r="C32">
        <v>26.358412218399405</v>
      </c>
      <c r="D32">
        <v>1.7692286504005377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5ABBE-E323-4F31-9C27-E87364A47050}">
  <dimension ref="A1:Q14"/>
  <sheetViews>
    <sheetView workbookViewId="0">
      <selection activeCell="C16" sqref="C16"/>
    </sheetView>
  </sheetViews>
  <sheetFormatPr defaultRowHeight="14.5" x14ac:dyDescent="0.35"/>
  <cols>
    <col min="1" max="1" width="14.1796875" bestFit="1" customWidth="1"/>
    <col min="3" max="3" width="16" bestFit="1" customWidth="1"/>
    <col min="4" max="4" width="19.54296875" bestFit="1" customWidth="1"/>
    <col min="5" max="5" width="7.26953125" bestFit="1" customWidth="1"/>
    <col min="7" max="7" width="13.81640625" bestFit="1" customWidth="1"/>
    <col min="10" max="10" width="11.1796875" bestFit="1" customWidth="1"/>
    <col min="11" max="11" width="10.81640625" bestFit="1" customWidth="1"/>
    <col min="13" max="13" width="11" bestFit="1" customWidth="1"/>
    <col min="14" max="14" width="13.81640625" bestFit="1" customWidth="1"/>
    <col min="16" max="16" width="15" bestFit="1" customWidth="1"/>
  </cols>
  <sheetData>
    <row r="1" spans="1:17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J1" s="3"/>
      <c r="K1" s="4" t="s">
        <v>8</v>
      </c>
      <c r="L1" s="4" t="s">
        <v>9</v>
      </c>
      <c r="M1" s="4" t="s">
        <v>10</v>
      </c>
      <c r="N1" s="4" t="s">
        <v>11</v>
      </c>
      <c r="P1" s="3" t="s">
        <v>12</v>
      </c>
      <c r="Q1" s="3" t="s">
        <v>13</v>
      </c>
    </row>
    <row r="2" spans="1:17" x14ac:dyDescent="0.35">
      <c r="A2" s="1">
        <f>1.1/1000</f>
        <v>1.1000000000000001E-3</v>
      </c>
      <c r="B2" s="1">
        <f>0.1/1000</f>
        <v>1E-4</v>
      </c>
      <c r="C2" s="1">
        <f>A2^(-1/2)</f>
        <v>30.151134457776362</v>
      </c>
      <c r="D2" s="1">
        <f>ABS(C2 * (-1/2) * (B2/A2))</f>
        <v>1.3705061117171073</v>
      </c>
      <c r="E2" s="1">
        <v>20</v>
      </c>
      <c r="F2" s="1">
        <v>0.1</v>
      </c>
      <c r="G2" s="1">
        <f>E2/1000</f>
        <v>0.02</v>
      </c>
      <c r="H2" s="1">
        <f>F2/1000</f>
        <v>1E-4</v>
      </c>
      <c r="J2" s="1">
        <v>1</v>
      </c>
      <c r="K2" s="1">
        <v>2.2000000000000002</v>
      </c>
      <c r="L2" s="1">
        <v>0.1</v>
      </c>
      <c r="M2" s="2">
        <f>P$2 * K2</f>
        <v>2.2000000000000002E-8</v>
      </c>
      <c r="N2" s="2">
        <f>M2 * ((Q$2/P$2)^2 + (L2/K2)^2)^(1/2)</f>
        <v>1.4866068747318507E-9</v>
      </c>
      <c r="P2" s="2">
        <v>1E-8</v>
      </c>
      <c r="Q2" s="2">
        <v>5.0000000000000003E-10</v>
      </c>
    </row>
    <row r="3" spans="1:17" x14ac:dyDescent="0.35">
      <c r="A3" s="1">
        <f>1.3/1000</f>
        <v>1.2999999999999999E-3</v>
      </c>
      <c r="B3" s="1">
        <f t="shared" ref="B3:B10" si="0">0.1/1000</f>
        <v>1E-4</v>
      </c>
      <c r="C3" s="1">
        <f t="shared" ref="C3:C10" si="1">A3^(-1/2)</f>
        <v>27.73500981126146</v>
      </c>
      <c r="D3" s="1">
        <f>ABS(C3 * (-1/2) * (B3/A3))</f>
        <v>1.0667311465869793</v>
      </c>
      <c r="E3" s="1">
        <v>18</v>
      </c>
      <c r="F3" s="1">
        <v>0.1</v>
      </c>
      <c r="G3" s="1">
        <f t="shared" ref="G3:G10" si="2">E3/1000</f>
        <v>1.7999999999999999E-2</v>
      </c>
      <c r="H3" s="1">
        <f t="shared" ref="H3:H10" si="3">F3/1000</f>
        <v>1E-4</v>
      </c>
      <c r="J3" s="1">
        <v>2</v>
      </c>
      <c r="K3" s="1">
        <v>2.2400000000000002</v>
      </c>
      <c r="L3" s="1">
        <v>0.1</v>
      </c>
      <c r="M3" s="2">
        <f>P$2 * K3</f>
        <v>2.2400000000000002E-8</v>
      </c>
      <c r="N3" s="2">
        <f>M3 * ((Q$2/P$2)^2 + (L3/K3)^2)^(1/2)</f>
        <v>1.5014659503298769E-9</v>
      </c>
    </row>
    <row r="4" spans="1:17" x14ac:dyDescent="0.35">
      <c r="A4" s="1">
        <f>1.4/1000</f>
        <v>1.4E-3</v>
      </c>
      <c r="B4" s="1">
        <f t="shared" si="0"/>
        <v>1E-4</v>
      </c>
      <c r="C4" s="1">
        <f t="shared" si="1"/>
        <v>26.726124191242437</v>
      </c>
      <c r="D4" s="1">
        <f>ABS(C4 * (-1/2) * (B4/A4))</f>
        <v>0.95450443540151575</v>
      </c>
      <c r="E4" s="1">
        <v>16</v>
      </c>
      <c r="F4" s="1">
        <v>0.1</v>
      </c>
      <c r="G4" s="1">
        <f t="shared" si="2"/>
        <v>1.6E-2</v>
      </c>
      <c r="H4" s="1">
        <f t="shared" si="3"/>
        <v>1E-4</v>
      </c>
      <c r="J4" s="1">
        <v>3</v>
      </c>
      <c r="K4" s="1">
        <v>2.2400000000000002</v>
      </c>
      <c r="L4" s="1">
        <v>0.1</v>
      </c>
      <c r="M4" s="2">
        <f>P$2 * K4</f>
        <v>2.2400000000000002E-8</v>
      </c>
      <c r="N4" s="2">
        <f>M4 * ((Q$2/P$2)^2 + (L4/K4)^2)^(1/2)</f>
        <v>1.5014659503298769E-9</v>
      </c>
    </row>
    <row r="5" spans="1:17" x14ac:dyDescent="0.35">
      <c r="A5" s="1">
        <f>1.5/1000</f>
        <v>1.5E-3</v>
      </c>
      <c r="B5" s="1">
        <f t="shared" si="0"/>
        <v>1E-4</v>
      </c>
      <c r="C5" s="1">
        <f t="shared" si="1"/>
        <v>25.819888974716111</v>
      </c>
      <c r="D5" s="1">
        <f t="shared" ref="D5:D10" si="4">ABS(C5 * (-1/2) * (B5/A5))</f>
        <v>0.86066296582387036</v>
      </c>
      <c r="E5" s="1">
        <v>14</v>
      </c>
      <c r="F5" s="1">
        <v>0.1</v>
      </c>
      <c r="G5" s="1">
        <f t="shared" si="2"/>
        <v>1.4E-2</v>
      </c>
      <c r="H5" s="1">
        <f t="shared" si="3"/>
        <v>1E-4</v>
      </c>
      <c r="J5" s="1" t="s">
        <v>14</v>
      </c>
      <c r="K5" s="1">
        <v>2.4300000000000002</v>
      </c>
      <c r="L5" s="1">
        <v>0.1</v>
      </c>
      <c r="M5" s="2">
        <f>P$2 * K5</f>
        <v>2.4300000000000003E-8</v>
      </c>
      <c r="N5" s="2">
        <f>M5 * ((Q$2/P$2)^2 + (L5/K5)^2)^(1/2)</f>
        <v>1.5736025546496807E-9</v>
      </c>
    </row>
    <row r="6" spans="1:17" x14ac:dyDescent="0.35">
      <c r="A6" s="1">
        <f>1.7/1000</f>
        <v>1.6999999999999999E-3</v>
      </c>
      <c r="B6" s="1">
        <f t="shared" si="0"/>
        <v>1E-4</v>
      </c>
      <c r="C6" s="1">
        <f t="shared" si="1"/>
        <v>24.253562503633297</v>
      </c>
      <c r="D6" s="1">
        <f t="shared" si="4"/>
        <v>0.7133400736362735</v>
      </c>
      <c r="E6" s="1">
        <v>12</v>
      </c>
      <c r="F6" s="1">
        <v>0.1</v>
      </c>
      <c r="G6" s="1">
        <f t="shared" si="2"/>
        <v>1.2E-2</v>
      </c>
      <c r="H6" s="1">
        <f t="shared" si="3"/>
        <v>1E-4</v>
      </c>
    </row>
    <row r="7" spans="1:17" x14ac:dyDescent="0.35">
      <c r="A7" s="1">
        <f>2/1000</f>
        <v>2E-3</v>
      </c>
      <c r="B7" s="1">
        <f t="shared" si="0"/>
        <v>1E-4</v>
      </c>
      <c r="C7" s="1">
        <f>A7^(-1/2)</f>
        <v>22.360679774997898</v>
      </c>
      <c r="D7" s="1">
        <f t="shared" si="4"/>
        <v>0.55901699437494745</v>
      </c>
      <c r="E7" s="1">
        <v>10</v>
      </c>
      <c r="F7" s="1">
        <v>0.1</v>
      </c>
      <c r="G7" s="1">
        <f t="shared" si="2"/>
        <v>0.01</v>
      </c>
      <c r="H7" s="1">
        <f>F7/1000</f>
        <v>1E-4</v>
      </c>
    </row>
    <row r="8" spans="1:17" x14ac:dyDescent="0.35">
      <c r="A8" s="1">
        <f>2.6/1000</f>
        <v>2.5999999999999999E-3</v>
      </c>
      <c r="B8" s="1">
        <f t="shared" si="0"/>
        <v>1E-4</v>
      </c>
      <c r="C8" s="1">
        <f t="shared" si="1"/>
        <v>19.611613513818405</v>
      </c>
      <c r="D8" s="1">
        <f t="shared" si="4"/>
        <v>0.37714641372727703</v>
      </c>
      <c r="E8" s="1">
        <v>8</v>
      </c>
      <c r="F8" s="1">
        <v>0.1</v>
      </c>
      <c r="G8" s="1">
        <f t="shared" si="2"/>
        <v>8.0000000000000002E-3</v>
      </c>
      <c r="H8" s="1">
        <f t="shared" si="3"/>
        <v>1E-4</v>
      </c>
    </row>
    <row r="9" spans="1:17" x14ac:dyDescent="0.35">
      <c r="A9" s="1">
        <f>3.1/1000</f>
        <v>3.0999999999999999E-3</v>
      </c>
      <c r="B9" s="1">
        <f t="shared" si="0"/>
        <v>1E-4</v>
      </c>
      <c r="C9" s="1">
        <f t="shared" si="1"/>
        <v>17.960530202677489</v>
      </c>
      <c r="D9" s="1">
        <f t="shared" si="4"/>
        <v>0.2896859710109273</v>
      </c>
      <c r="E9" s="1">
        <v>6</v>
      </c>
      <c r="F9" s="1">
        <v>0.1</v>
      </c>
      <c r="G9" s="1">
        <f t="shared" si="2"/>
        <v>6.0000000000000001E-3</v>
      </c>
      <c r="H9" s="1">
        <f t="shared" si="3"/>
        <v>1E-4</v>
      </c>
    </row>
    <row r="10" spans="1:17" x14ac:dyDescent="0.35">
      <c r="A10" s="1">
        <f>4.2/1000</f>
        <v>4.2000000000000006E-3</v>
      </c>
      <c r="B10" s="1">
        <f t="shared" si="0"/>
        <v>1E-4</v>
      </c>
      <c r="C10" s="1">
        <f t="shared" si="1"/>
        <v>15.43033499620919</v>
      </c>
      <c r="D10" s="1">
        <f t="shared" si="4"/>
        <v>0.18369446424058558</v>
      </c>
      <c r="E10" s="1">
        <v>4</v>
      </c>
      <c r="F10" s="1">
        <v>0.1</v>
      </c>
      <c r="G10" s="1">
        <f t="shared" si="2"/>
        <v>4.0000000000000001E-3</v>
      </c>
      <c r="H10" s="1">
        <f t="shared" si="3"/>
        <v>1E-4</v>
      </c>
    </row>
    <row r="12" spans="1:17" x14ac:dyDescent="0.35">
      <c r="M12" s="3"/>
      <c r="N12" s="3" t="s">
        <v>15</v>
      </c>
      <c r="O12" s="3" t="s">
        <v>16</v>
      </c>
      <c r="P12" s="4" t="s">
        <v>17</v>
      </c>
    </row>
    <row r="13" spans="1:17" x14ac:dyDescent="0.35">
      <c r="M13" s="1" t="s">
        <v>18</v>
      </c>
      <c r="N13" s="1">
        <f t="array" ref="N13:O14">LINEST(C2:C10,G2:G10,1,1)</f>
        <v>882.457226888224</v>
      </c>
      <c r="O13" s="1">
        <v>12.749277546933827</v>
      </c>
      <c r="P13" s="2">
        <f>(1/(16*3.14159))*(M5)^2*(N13)^2</f>
        <v>9.148089121880781E-12</v>
      </c>
    </row>
    <row r="14" spans="1:17" x14ac:dyDescent="0.35">
      <c r="M14" s="1" t="s">
        <v>13</v>
      </c>
      <c r="N14" s="1">
        <v>46.444929180156301</v>
      </c>
      <c r="O14" s="1">
        <v>0.60675401403244789</v>
      </c>
      <c r="P14" s="2">
        <f>P13*((2*N5/M5)^2 + (2*N14/N13)^2)^(1/2)</f>
        <v>1.5267795644191879E-12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5F1C-A1F6-4944-A377-996FBC2E49B8}">
  <dimension ref="A1:S37"/>
  <sheetViews>
    <sheetView topLeftCell="A7" workbookViewId="0">
      <selection activeCell="G14" sqref="G14"/>
    </sheetView>
  </sheetViews>
  <sheetFormatPr defaultRowHeight="14.5" x14ac:dyDescent="0.35"/>
  <cols>
    <col min="11" max="11" width="9.81640625" bestFit="1" customWidth="1"/>
  </cols>
  <sheetData>
    <row r="1" spans="1:19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J1" s="3"/>
      <c r="K1" s="4" t="s">
        <v>8</v>
      </c>
      <c r="L1" s="4" t="s">
        <v>9</v>
      </c>
      <c r="M1" s="4" t="s">
        <v>10</v>
      </c>
      <c r="N1" s="4" t="s">
        <v>11</v>
      </c>
      <c r="P1" s="3" t="s">
        <v>12</v>
      </c>
      <c r="Q1" s="3" t="s">
        <v>13</v>
      </c>
      <c r="R1" s="9" t="s">
        <v>53</v>
      </c>
      <c r="S1" s="8" t="s">
        <v>52</v>
      </c>
    </row>
    <row r="2" spans="1:19" x14ac:dyDescent="0.35">
      <c r="A2" s="1">
        <v>1.1000000000000001E-3</v>
      </c>
      <c r="B2" s="1">
        <v>1E-4</v>
      </c>
      <c r="C2" s="1">
        <v>30.151134457776362</v>
      </c>
      <c r="D2" s="1">
        <v>-1.3705061117171073</v>
      </c>
      <c r="E2" s="1">
        <v>20</v>
      </c>
      <c r="F2" s="1">
        <v>0.1</v>
      </c>
      <c r="G2" s="1">
        <v>0.02</v>
      </c>
      <c r="H2" s="1">
        <v>1E-4</v>
      </c>
      <c r="J2" s="1">
        <v>1</v>
      </c>
      <c r="K2" s="1">
        <v>2.2000000000000002</v>
      </c>
      <c r="L2" s="1">
        <v>0.1</v>
      </c>
      <c r="M2" s="2">
        <v>2.2000000000000002E-8</v>
      </c>
      <c r="N2" s="2">
        <v>1.4866068747318507E-9</v>
      </c>
      <c r="P2" s="2">
        <v>1E-8</v>
      </c>
      <c r="Q2" s="2">
        <v>5.0000000000000003E-10</v>
      </c>
      <c r="R2">
        <f>D14-(452.12*E14-9.2749)</f>
        <v>-1.0387055422236351</v>
      </c>
      <c r="S2">
        <f>D14-(373.29*F14-6.3355)</f>
        <v>-1.1101252747927788</v>
      </c>
    </row>
    <row r="3" spans="1:19" x14ac:dyDescent="0.35">
      <c r="A3" s="1">
        <v>1.1999999999999999E-3</v>
      </c>
      <c r="B3" s="1">
        <v>1E-4</v>
      </c>
      <c r="C3" s="1">
        <v>28.867513459481287</v>
      </c>
      <c r="D3" s="1">
        <v>-1.2028130608117205</v>
      </c>
      <c r="E3" s="1">
        <v>18</v>
      </c>
      <c r="F3" s="1">
        <v>0.1</v>
      </c>
      <c r="G3" s="1">
        <v>1.7999999999999999E-2</v>
      </c>
      <c r="H3" s="1">
        <v>1E-4</v>
      </c>
      <c r="J3" s="1">
        <v>2</v>
      </c>
      <c r="K3" s="1">
        <v>2.2400000000000002</v>
      </c>
      <c r="L3" s="1">
        <v>0.1</v>
      </c>
      <c r="M3" s="2">
        <v>2.2400000000000002E-8</v>
      </c>
      <c r="N3" s="2">
        <v>1.5014659503298769E-9</v>
      </c>
      <c r="R3">
        <f t="shared" ref="R3:R10" si="0">D15-(452.12*E15-9.2749)</f>
        <v>-0.51384654051870626</v>
      </c>
      <c r="S3">
        <f t="shared" ref="S3:S10" si="1">D15-(373.29*F15-6.3355)</f>
        <v>-0.52440255338123265</v>
      </c>
    </row>
    <row r="4" spans="1:19" x14ac:dyDescent="0.35">
      <c r="A4" s="1">
        <v>1.2999999999999999E-3</v>
      </c>
      <c r="B4" s="1">
        <v>1E-4</v>
      </c>
      <c r="C4" s="1">
        <v>27.73500981126146</v>
      </c>
      <c r="D4" s="1">
        <v>-1.0667311465869793</v>
      </c>
      <c r="E4" s="1">
        <v>16</v>
      </c>
      <c r="F4" s="1">
        <v>0.1</v>
      </c>
      <c r="G4" s="1">
        <v>1.6E-2</v>
      </c>
      <c r="H4" s="1">
        <v>1E-4</v>
      </c>
      <c r="J4" s="1">
        <v>3</v>
      </c>
      <c r="K4" s="1">
        <v>2.2400000000000002</v>
      </c>
      <c r="L4" s="1">
        <v>0.1</v>
      </c>
      <c r="M4" s="2">
        <v>2.2400000000000002E-8</v>
      </c>
      <c r="N4" s="2">
        <v>1.5014659503298769E-9</v>
      </c>
      <c r="R4">
        <f t="shared" si="0"/>
        <v>0.16212981126146175</v>
      </c>
      <c r="S4">
        <f t="shared" si="1"/>
        <v>0.19380096793145896</v>
      </c>
    </row>
    <row r="5" spans="1:19" x14ac:dyDescent="0.35">
      <c r="A5" s="1">
        <v>1.4E-3</v>
      </c>
      <c r="B5" s="1">
        <v>1E-4</v>
      </c>
      <c r="C5" s="1">
        <v>26.726124191242437</v>
      </c>
      <c r="D5" s="1">
        <v>-0.95450443540151575</v>
      </c>
      <c r="E5" s="1">
        <v>14</v>
      </c>
      <c r="F5" s="1">
        <v>0.1</v>
      </c>
      <c r="G5" s="1">
        <v>1.4E-2</v>
      </c>
      <c r="H5" s="1">
        <v>1E-4</v>
      </c>
      <c r="J5" s="1" t="s">
        <v>14</v>
      </c>
      <c r="K5" s="1">
        <v>2.5</v>
      </c>
      <c r="L5" s="1">
        <v>0.1</v>
      </c>
      <c r="M5" s="2">
        <v>2.4999999999999999E-8</v>
      </c>
      <c r="N5" s="2">
        <v>1.6007810593582122E-9</v>
      </c>
      <c r="R5">
        <f t="shared" si="0"/>
        <v>0.96172419124244257</v>
      </c>
      <c r="S5">
        <f t="shared" si="1"/>
        <v>1.0171303628423942</v>
      </c>
    </row>
    <row r="6" spans="1:19" x14ac:dyDescent="0.35">
      <c r="A6" s="1">
        <v>1.6000000000000001E-3</v>
      </c>
      <c r="B6" s="1">
        <v>1E-4</v>
      </c>
      <c r="C6" s="1">
        <v>25</v>
      </c>
      <c r="D6" s="1">
        <v>-0.78125</v>
      </c>
      <c r="E6" s="1">
        <v>12</v>
      </c>
      <c r="F6" s="1">
        <v>0.1</v>
      </c>
      <c r="G6" s="1">
        <v>1.2E-2</v>
      </c>
      <c r="H6" s="1">
        <v>1E-4</v>
      </c>
      <c r="R6">
        <f t="shared" si="0"/>
        <v>1.044080000000001</v>
      </c>
      <c r="S6">
        <f t="shared" si="1"/>
        <v>1.1048724237737169</v>
      </c>
    </row>
    <row r="7" spans="1:19" x14ac:dyDescent="0.35">
      <c r="A7" s="1">
        <v>1.9E-3</v>
      </c>
      <c r="B7" s="1">
        <v>1E-4</v>
      </c>
      <c r="C7" s="1">
        <v>22.941573387056177</v>
      </c>
      <c r="D7" s="1">
        <v>-0.60372561544884684</v>
      </c>
      <c r="E7" s="1">
        <v>10</v>
      </c>
      <c r="F7" s="1">
        <v>0.1</v>
      </c>
      <c r="G7" s="1">
        <v>0.01</v>
      </c>
      <c r="H7" s="1">
        <v>1E-4</v>
      </c>
      <c r="R7">
        <f t="shared" si="0"/>
        <v>0.7941333870561742</v>
      </c>
      <c r="S7">
        <f t="shared" si="1"/>
        <v>0.84210569493450649</v>
      </c>
    </row>
    <row r="8" spans="1:19" x14ac:dyDescent="0.35">
      <c r="A8" s="1">
        <v>2.3999999999999998E-3</v>
      </c>
      <c r="B8" s="1">
        <v>1E-4</v>
      </c>
      <c r="C8" s="1">
        <v>20.412414523193153</v>
      </c>
      <c r="D8" s="1">
        <v>-0.42525863589985741</v>
      </c>
      <c r="E8" s="1">
        <v>8</v>
      </c>
      <c r="F8" s="1">
        <v>0.1</v>
      </c>
      <c r="G8" s="1">
        <v>8.0000000000000002E-3</v>
      </c>
      <c r="H8" s="1">
        <v>1E-4</v>
      </c>
      <c r="J8" t="s">
        <v>47</v>
      </c>
      <c r="K8">
        <v>4.9500000000000002E-2</v>
      </c>
      <c r="R8">
        <f t="shared" si="0"/>
        <v>7.345452319315271E-2</v>
      </c>
      <c r="S8">
        <f t="shared" si="1"/>
        <v>9.0541751159047834E-2</v>
      </c>
    </row>
    <row r="9" spans="1:19" x14ac:dyDescent="0.35">
      <c r="A9" s="1">
        <v>3.0999999999999999E-3</v>
      </c>
      <c r="B9" s="1">
        <v>1E-4</v>
      </c>
      <c r="C9" s="1">
        <v>17.960530202677489</v>
      </c>
      <c r="D9" s="1">
        <v>-0.2896859710109273</v>
      </c>
      <c r="E9" s="1">
        <v>6</v>
      </c>
      <c r="F9" s="1">
        <v>0.1</v>
      </c>
      <c r="G9" s="1">
        <v>6.0000000000000001E-3</v>
      </c>
      <c r="H9" s="1">
        <v>1E-4</v>
      </c>
      <c r="N9" t="s">
        <v>18</v>
      </c>
      <c r="O9" t="s">
        <v>13</v>
      </c>
      <c r="R9">
        <f t="shared" si="0"/>
        <v>-0.56994979732250783</v>
      </c>
      <c r="S9">
        <f t="shared" si="1"/>
        <v>-0.6016721933854825</v>
      </c>
    </row>
    <row r="10" spans="1:19" x14ac:dyDescent="0.35">
      <c r="A10" s="1">
        <v>4.0000000000000001E-3</v>
      </c>
      <c r="B10" s="1">
        <v>1E-4</v>
      </c>
      <c r="C10" s="1">
        <v>15.811388300841898</v>
      </c>
      <c r="D10" s="1">
        <v>-0.19764235376052375</v>
      </c>
      <c r="E10" s="1">
        <v>4</v>
      </c>
      <c r="F10" s="1">
        <v>0.1</v>
      </c>
      <c r="G10" s="1">
        <v>4.0000000000000001E-3</v>
      </c>
      <c r="H10" s="1">
        <v>1E-4</v>
      </c>
      <c r="J10" t="s">
        <v>50</v>
      </c>
      <c r="K10">
        <f>0.002/5</f>
        <v>4.0000000000000002E-4</v>
      </c>
      <c r="M10" t="s">
        <v>26</v>
      </c>
      <c r="N10">
        <v>1.0554540836000784E-3</v>
      </c>
      <c r="O10">
        <v>2.6288758891945693E-5</v>
      </c>
      <c r="R10">
        <f t="shared" si="0"/>
        <v>-0.91061169915810325</v>
      </c>
      <c r="S10">
        <f t="shared" si="1"/>
        <v>-1.008928821174738</v>
      </c>
    </row>
    <row r="11" spans="1:19" x14ac:dyDescent="0.35">
      <c r="J11" t="s">
        <v>44</v>
      </c>
      <c r="M11" t="s">
        <v>27</v>
      </c>
      <c r="N11">
        <v>8.020771113053098E-4</v>
      </c>
      <c r="O11">
        <v>1.7686156955097841E-5</v>
      </c>
    </row>
    <row r="12" spans="1:19" x14ac:dyDescent="0.35">
      <c r="M12" t="s">
        <v>29</v>
      </c>
      <c r="N12">
        <v>9.287655974526941E-4</v>
      </c>
      <c r="O12">
        <v>1.2668848614738428E-4</v>
      </c>
    </row>
    <row r="13" spans="1:19" x14ac:dyDescent="0.35">
      <c r="D13" s="3" t="s">
        <v>2</v>
      </c>
      <c r="E13" t="s">
        <v>49</v>
      </c>
      <c r="F13" t="s">
        <v>51</v>
      </c>
    </row>
    <row r="14" spans="1:19" x14ac:dyDescent="0.35">
      <c r="D14" s="1">
        <v>30.151134457776362</v>
      </c>
      <c r="E14">
        <f>2*G2+$K$8</f>
        <v>8.9499999999999996E-2</v>
      </c>
      <c r="F14">
        <f>E14*EXP($N$10*E14/(2*$K$10))</f>
        <v>0.10071729682704905</v>
      </c>
      <c r="G14">
        <f>E14*EXP($N$10*(E14-$E$22)/(2*$K$10))</f>
        <v>9.3359421230152395E-2</v>
      </c>
    </row>
    <row r="15" spans="1:19" x14ac:dyDescent="0.35">
      <c r="D15" s="1">
        <v>28.867513459481287</v>
      </c>
      <c r="E15">
        <f t="shared" ref="E15:E21" si="2">2*G3+$K$8</f>
        <v>8.5499999999999993E-2</v>
      </c>
      <c r="F15">
        <f t="shared" ref="F15:F21" si="3">E15*EXP($N$10*E15/(2*$K$10))</f>
        <v>9.5709544892342471E-2</v>
      </c>
      <c r="G15">
        <f t="shared" ref="G15:G22" si="4">E15*EXP($N$10*(E15-$E$22)/(2*$K$10))</f>
        <v>8.8717509294298863E-2</v>
      </c>
    </row>
    <row r="16" spans="1:19" x14ac:dyDescent="0.35">
      <c r="D16" s="1">
        <v>27.73500981126146</v>
      </c>
      <c r="E16">
        <f t="shared" si="2"/>
        <v>8.1500000000000003E-2</v>
      </c>
      <c r="F16">
        <f t="shared" si="3"/>
        <v>9.0751718083340024E-2</v>
      </c>
      <c r="G16">
        <f t="shared" si="4"/>
        <v>8.4121875217238379E-2</v>
      </c>
    </row>
    <row r="17" spans="2:7" x14ac:dyDescent="0.35">
      <c r="D17" s="1">
        <v>26.726124191242437</v>
      </c>
      <c r="E17">
        <f t="shared" si="2"/>
        <v>7.7499999999999999E-2</v>
      </c>
      <c r="F17">
        <f t="shared" si="3"/>
        <v>8.5843429581290792E-2</v>
      </c>
      <c r="G17">
        <f t="shared" si="4"/>
        <v>7.9572160439162015E-2</v>
      </c>
    </row>
    <row r="18" spans="2:7" x14ac:dyDescent="0.35">
      <c r="D18" s="1">
        <v>25</v>
      </c>
      <c r="E18">
        <f t="shared" si="2"/>
        <v>7.350000000000001E-2</v>
      </c>
      <c r="F18">
        <f t="shared" si="3"/>
        <v>8.0984295256305502E-2</v>
      </c>
      <c r="G18">
        <f t="shared" si="4"/>
        <v>7.5068008892688415E-2</v>
      </c>
    </row>
    <row r="19" spans="2:7" x14ac:dyDescent="0.35">
      <c r="D19" s="1">
        <v>22.941573387056177</v>
      </c>
      <c r="E19">
        <f t="shared" si="2"/>
        <v>6.9500000000000006E-2</v>
      </c>
      <c r="F19">
        <f t="shared" si="3"/>
        <v>7.6173933649767392E-2</v>
      </c>
      <c r="G19">
        <f t="shared" si="4"/>
        <v>7.060906698655961E-2</v>
      </c>
    </row>
    <row r="20" spans="2:7" x14ac:dyDescent="0.35">
      <c r="D20" s="1">
        <v>20.412414523193153</v>
      </c>
      <c r="E20">
        <f t="shared" si="2"/>
        <v>6.5500000000000003E-2</v>
      </c>
      <c r="F20">
        <f t="shared" si="3"/>
        <v>7.1411965956854201E-2</v>
      </c>
      <c r="G20">
        <f t="shared" si="4"/>
        <v>6.6194983589439843E-2</v>
      </c>
    </row>
    <row r="21" spans="2:7" x14ac:dyDescent="0.35">
      <c r="D21" s="1">
        <v>17.960530202677489</v>
      </c>
      <c r="E21">
        <f t="shared" si="2"/>
        <v>6.1499999999999999E-2</v>
      </c>
      <c r="F21">
        <f t="shared" si="3"/>
        <v>6.6698016009169733E-2</v>
      </c>
      <c r="G21">
        <f t="shared" si="4"/>
        <v>6.1825410013816098E-2</v>
      </c>
    </row>
    <row r="22" spans="2:7" x14ac:dyDescent="0.35">
      <c r="D22" s="1">
        <v>15.811388300841898</v>
      </c>
      <c r="E22">
        <f>2*G10+$K$8</f>
        <v>5.7500000000000002E-2</v>
      </c>
      <c r="F22">
        <f>E22*EXP($N$10*E22/(2*$K$10))</f>
        <v>6.2031710257485155E-2</v>
      </c>
      <c r="G22">
        <f t="shared" si="4"/>
        <v>5.7500000000000002E-2</v>
      </c>
    </row>
    <row r="26" spans="2:7" x14ac:dyDescent="0.35">
      <c r="B26" t="s">
        <v>49</v>
      </c>
      <c r="C26" t="s">
        <v>15</v>
      </c>
      <c r="D26" t="s">
        <v>16</v>
      </c>
      <c r="E26" t="s">
        <v>17</v>
      </c>
    </row>
    <row r="27" spans="2:7" x14ac:dyDescent="0.35">
      <c r="B27" t="s">
        <v>18</v>
      </c>
      <c r="C27">
        <v>904.24729815393459</v>
      </c>
      <c r="D27">
        <v>13.105220014767253</v>
      </c>
      <c r="E27">
        <v>1.0166816109372198E-11</v>
      </c>
    </row>
    <row r="28" spans="2:7" x14ac:dyDescent="0.35">
      <c r="B28" t="s">
        <v>13</v>
      </c>
      <c r="C28">
        <v>55.497475259287427</v>
      </c>
      <c r="D28">
        <v>0.72501598078926799</v>
      </c>
      <c r="E28">
        <v>1.8034906172795725E-12</v>
      </c>
    </row>
    <row r="30" spans="2:7" x14ac:dyDescent="0.35">
      <c r="B30" t="s">
        <v>54</v>
      </c>
      <c r="C30" t="s">
        <v>15</v>
      </c>
      <c r="D30" t="s">
        <v>16</v>
      </c>
      <c r="E30" t="s">
        <v>17</v>
      </c>
    </row>
    <row r="31" spans="2:7" x14ac:dyDescent="0.35">
      <c r="B31" t="s">
        <v>18</v>
      </c>
      <c r="C31">
        <f t="array" ref="C31:D32">LINEST(D14:D22,F14:F22,1,1)</f>
        <v>373.29473565706388</v>
      </c>
      <c r="D31">
        <v>-6.3355151329119437</v>
      </c>
      <c r="E31" s="5">
        <f>(M5*C31)^2*EXP(N10*(2*G10+K8)/K10)/(4*PI())</f>
        <v>8.0661390602967669E-12</v>
      </c>
    </row>
    <row r="32" spans="2:7" x14ac:dyDescent="0.35">
      <c r="B32" t="s">
        <v>13</v>
      </c>
      <c r="C32">
        <v>24.504526901540302</v>
      </c>
      <c r="D32">
        <v>2.0118667794989307</v>
      </c>
    </row>
    <row r="34" spans="2:5" x14ac:dyDescent="0.35">
      <c r="B34" t="s">
        <v>62</v>
      </c>
      <c r="C34">
        <f t="array" ref="C34:D35">LINEST(D14:D22,G14:G22,1,1)</f>
        <v>402.71497187693046</v>
      </c>
      <c r="D34">
        <v>-6.3355151329119614</v>
      </c>
      <c r="E34" s="5">
        <f>(M5*C34)^2/(4*PI())</f>
        <v>8.0661390602967702E-12</v>
      </c>
    </row>
    <row r="35" spans="2:5" x14ac:dyDescent="0.35">
      <c r="C35">
        <v>26.435786308749577</v>
      </c>
      <c r="D35">
        <v>2.0118667794989338</v>
      </c>
    </row>
    <row r="37" spans="2:5" x14ac:dyDescent="0.35">
      <c r="B37" t="s">
        <v>63</v>
      </c>
      <c r="C37">
        <f t="array" ref="C37">LINEST(D14:D22,E14:E22,1,1)</f>
        <v>452.12364907696741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F7BF-D05C-4852-9A64-BD43C1CA5E4B}">
  <dimension ref="A1:Q14"/>
  <sheetViews>
    <sheetView workbookViewId="0">
      <selection activeCell="B14" sqref="B14"/>
    </sheetView>
  </sheetViews>
  <sheetFormatPr defaultRowHeight="14.5" x14ac:dyDescent="0.35"/>
  <cols>
    <col min="1" max="1" width="14.1796875" bestFit="1" customWidth="1"/>
    <col min="3" max="3" width="16" bestFit="1" customWidth="1"/>
    <col min="4" max="4" width="19.54296875" bestFit="1" customWidth="1"/>
    <col min="5" max="5" width="7.26953125" bestFit="1" customWidth="1"/>
    <col min="7" max="7" width="13.81640625" bestFit="1" customWidth="1"/>
    <col min="10" max="10" width="11.1796875" bestFit="1" customWidth="1"/>
    <col min="11" max="11" width="10.81640625" bestFit="1" customWidth="1"/>
    <col min="13" max="13" width="11" bestFit="1" customWidth="1"/>
    <col min="14" max="14" width="13.81640625" bestFit="1" customWidth="1"/>
    <col min="16" max="16" width="15" bestFit="1" customWidth="1"/>
  </cols>
  <sheetData>
    <row r="1" spans="1:17" x14ac:dyDescent="0.35">
      <c r="A1" s="3" t="s">
        <v>0</v>
      </c>
      <c r="B1" s="4" t="s">
        <v>1</v>
      </c>
      <c r="C1" s="3" t="s">
        <v>2</v>
      </c>
      <c r="D1" s="4" t="s">
        <v>3</v>
      </c>
      <c r="E1" s="3" t="s">
        <v>4</v>
      </c>
      <c r="F1" s="4" t="s">
        <v>5</v>
      </c>
      <c r="G1" s="3" t="s">
        <v>6</v>
      </c>
      <c r="H1" s="4" t="s">
        <v>7</v>
      </c>
      <c r="J1" s="3"/>
      <c r="K1" s="4" t="s">
        <v>8</v>
      </c>
      <c r="L1" s="4" t="s">
        <v>9</v>
      </c>
      <c r="M1" s="4" t="s">
        <v>10</v>
      </c>
      <c r="N1" s="4" t="s">
        <v>11</v>
      </c>
      <c r="P1" s="3" t="s">
        <v>12</v>
      </c>
      <c r="Q1" s="3" t="s">
        <v>13</v>
      </c>
    </row>
    <row r="2" spans="1:17" x14ac:dyDescent="0.35">
      <c r="A2" s="1">
        <f>1.1/1000</f>
        <v>1.1000000000000001E-3</v>
      </c>
      <c r="B2" s="1">
        <f>0.1/1000</f>
        <v>1E-4</v>
      </c>
      <c r="C2" s="1">
        <f t="shared" ref="C2:C10" si="0">A2^(-1/2)</f>
        <v>30.151134457776362</v>
      </c>
      <c r="D2" s="1">
        <f>ABS(C2 * (-1/2) * (B2/A2))</f>
        <v>1.3705061117171073</v>
      </c>
      <c r="E2" s="1">
        <v>20</v>
      </c>
      <c r="F2" s="1">
        <v>0.1</v>
      </c>
      <c r="G2" s="1">
        <f>E2/1000</f>
        <v>0.02</v>
      </c>
      <c r="H2" s="1">
        <f>F2/1000</f>
        <v>1E-4</v>
      </c>
      <c r="J2" s="1">
        <v>1</v>
      </c>
      <c r="K2" s="1">
        <v>2.2000000000000002</v>
      </c>
      <c r="L2" s="1">
        <v>0.1</v>
      </c>
      <c r="M2" s="2">
        <f>P$2 * K2</f>
        <v>2.2000000000000002E-8</v>
      </c>
      <c r="N2" s="2">
        <f>M2 * ((Q$2/P$2)^2 + (L2/K2)^2)^(1/2)</f>
        <v>1.4866068747318507E-9</v>
      </c>
      <c r="P2" s="2">
        <v>1E-8</v>
      </c>
      <c r="Q2" s="2">
        <v>5.0000000000000003E-10</v>
      </c>
    </row>
    <row r="3" spans="1:17" x14ac:dyDescent="0.35">
      <c r="A3" s="1">
        <f>1.2/1000</f>
        <v>1.1999999999999999E-3</v>
      </c>
      <c r="B3" s="1">
        <f t="shared" ref="B3:B10" si="1">0.1/1000</f>
        <v>1E-4</v>
      </c>
      <c r="C3" s="1">
        <f t="shared" si="0"/>
        <v>28.867513459481287</v>
      </c>
      <c r="D3" s="1">
        <f t="shared" ref="D3:D10" si="2">ABS(C3 * (-1/2) * (B3/A3))</f>
        <v>1.2028130608117205</v>
      </c>
      <c r="E3" s="1">
        <v>18</v>
      </c>
      <c r="F3" s="1">
        <v>0.1</v>
      </c>
      <c r="G3" s="1">
        <f t="shared" ref="G3:H10" si="3">E3/1000</f>
        <v>1.7999999999999999E-2</v>
      </c>
      <c r="H3" s="1">
        <f t="shared" si="3"/>
        <v>1E-4</v>
      </c>
      <c r="J3" s="1">
        <v>2</v>
      </c>
      <c r="K3" s="1">
        <v>2.2400000000000002</v>
      </c>
      <c r="L3" s="1">
        <v>0.1</v>
      </c>
      <c r="M3" s="2">
        <f>P$2 * K3</f>
        <v>2.2400000000000002E-8</v>
      </c>
      <c r="N3" s="2">
        <f>M3 * ((Q$2/P$2)^2 + (L3/K3)^2)^(1/2)</f>
        <v>1.5014659503298769E-9</v>
      </c>
    </row>
    <row r="4" spans="1:17" x14ac:dyDescent="0.35">
      <c r="A4" s="1">
        <f>1.3/1000</f>
        <v>1.2999999999999999E-3</v>
      </c>
      <c r="B4" s="1">
        <f t="shared" si="1"/>
        <v>1E-4</v>
      </c>
      <c r="C4" s="1">
        <f t="shared" si="0"/>
        <v>27.73500981126146</v>
      </c>
      <c r="D4" s="1">
        <f t="shared" si="2"/>
        <v>1.0667311465869793</v>
      </c>
      <c r="E4" s="1">
        <v>16</v>
      </c>
      <c r="F4" s="1">
        <v>0.1</v>
      </c>
      <c r="G4" s="1">
        <f t="shared" si="3"/>
        <v>1.6E-2</v>
      </c>
      <c r="H4" s="1">
        <f t="shared" si="3"/>
        <v>1E-4</v>
      </c>
      <c r="J4" s="1">
        <v>3</v>
      </c>
      <c r="K4" s="1">
        <v>2.2400000000000002</v>
      </c>
      <c r="L4" s="1">
        <v>0.1</v>
      </c>
      <c r="M4" s="2">
        <f>P$2 * K4</f>
        <v>2.2400000000000002E-8</v>
      </c>
      <c r="N4" s="2">
        <f>M4 * ((Q$2/P$2)^2 + (L4/K4)^2)^(1/2)</f>
        <v>1.5014659503298769E-9</v>
      </c>
    </row>
    <row r="5" spans="1:17" x14ac:dyDescent="0.35">
      <c r="A5" s="1">
        <f>1.4/1000</f>
        <v>1.4E-3</v>
      </c>
      <c r="B5" s="1">
        <f t="shared" si="1"/>
        <v>1E-4</v>
      </c>
      <c r="C5" s="1">
        <f t="shared" si="0"/>
        <v>26.726124191242437</v>
      </c>
      <c r="D5" s="1">
        <f t="shared" si="2"/>
        <v>0.95450443540151575</v>
      </c>
      <c r="E5" s="1">
        <v>14</v>
      </c>
      <c r="F5" s="1">
        <v>0.1</v>
      </c>
      <c r="G5" s="1">
        <f t="shared" si="3"/>
        <v>1.4E-2</v>
      </c>
      <c r="H5" s="1">
        <f t="shared" si="3"/>
        <v>1E-4</v>
      </c>
      <c r="J5" s="1" t="s">
        <v>14</v>
      </c>
      <c r="K5" s="1">
        <v>2.5</v>
      </c>
      <c r="L5" s="1">
        <v>0.1</v>
      </c>
      <c r="M5" s="2">
        <f>P$2 * K5</f>
        <v>2.4999999999999999E-8</v>
      </c>
      <c r="N5" s="2">
        <f>M5 * ((Q$2/P$2)^2 + (L5/K5)^2)^(1/2)</f>
        <v>1.6007810593582122E-9</v>
      </c>
    </row>
    <row r="6" spans="1:17" x14ac:dyDescent="0.35">
      <c r="A6" s="1">
        <f>1.6/1000</f>
        <v>1.6000000000000001E-3</v>
      </c>
      <c r="B6" s="1">
        <f t="shared" si="1"/>
        <v>1E-4</v>
      </c>
      <c r="C6" s="1">
        <f t="shared" si="0"/>
        <v>25</v>
      </c>
      <c r="D6" s="1">
        <f t="shared" si="2"/>
        <v>0.78125</v>
      </c>
      <c r="E6" s="1">
        <v>12</v>
      </c>
      <c r="F6" s="1">
        <v>0.1</v>
      </c>
      <c r="G6" s="1">
        <f t="shared" si="3"/>
        <v>1.2E-2</v>
      </c>
      <c r="H6" s="1">
        <f t="shared" si="3"/>
        <v>1E-4</v>
      </c>
    </row>
    <row r="7" spans="1:17" x14ac:dyDescent="0.35">
      <c r="A7" s="1">
        <f>1.9/1000</f>
        <v>1.9E-3</v>
      </c>
      <c r="B7" s="1">
        <f t="shared" si="1"/>
        <v>1E-4</v>
      </c>
      <c r="C7" s="1">
        <f t="shared" si="0"/>
        <v>22.941573387056177</v>
      </c>
      <c r="D7" s="1">
        <f t="shared" si="2"/>
        <v>0.60372561544884684</v>
      </c>
      <c r="E7" s="1">
        <v>10</v>
      </c>
      <c r="F7" s="1">
        <v>0.1</v>
      </c>
      <c r="G7" s="1">
        <f t="shared" si="3"/>
        <v>0.01</v>
      </c>
      <c r="H7" s="1">
        <f>F7/1000</f>
        <v>1E-4</v>
      </c>
    </row>
    <row r="8" spans="1:17" x14ac:dyDescent="0.35">
      <c r="A8" s="1">
        <f>2.4/1000</f>
        <v>2.3999999999999998E-3</v>
      </c>
      <c r="B8" s="1">
        <f t="shared" si="1"/>
        <v>1E-4</v>
      </c>
      <c r="C8" s="1">
        <f t="shared" si="0"/>
        <v>20.412414523193153</v>
      </c>
      <c r="D8" s="1">
        <f t="shared" si="2"/>
        <v>0.42525863589985741</v>
      </c>
      <c r="E8" s="1">
        <v>8</v>
      </c>
      <c r="F8" s="1">
        <v>0.1</v>
      </c>
      <c r="G8" s="1">
        <f t="shared" si="3"/>
        <v>8.0000000000000002E-3</v>
      </c>
      <c r="H8" s="1">
        <f t="shared" si="3"/>
        <v>1E-4</v>
      </c>
    </row>
    <row r="9" spans="1:17" x14ac:dyDescent="0.35">
      <c r="A9" s="1">
        <f>3.1/1000</f>
        <v>3.0999999999999999E-3</v>
      </c>
      <c r="B9" s="1">
        <f t="shared" si="1"/>
        <v>1E-4</v>
      </c>
      <c r="C9" s="1">
        <f t="shared" si="0"/>
        <v>17.960530202677489</v>
      </c>
      <c r="D9" s="1">
        <f t="shared" si="2"/>
        <v>0.2896859710109273</v>
      </c>
      <c r="E9" s="1">
        <v>6</v>
      </c>
      <c r="F9" s="1">
        <v>0.1</v>
      </c>
      <c r="G9" s="1">
        <f t="shared" si="3"/>
        <v>6.0000000000000001E-3</v>
      </c>
      <c r="H9" s="1">
        <f t="shared" si="3"/>
        <v>1E-4</v>
      </c>
    </row>
    <row r="10" spans="1:17" x14ac:dyDescent="0.35">
      <c r="A10" s="1">
        <f>4/1000</f>
        <v>4.0000000000000001E-3</v>
      </c>
      <c r="B10" s="1">
        <f t="shared" si="1"/>
        <v>1E-4</v>
      </c>
      <c r="C10" s="1">
        <f t="shared" si="0"/>
        <v>15.811388300841898</v>
      </c>
      <c r="D10" s="1">
        <f t="shared" si="2"/>
        <v>0.19764235376052375</v>
      </c>
      <c r="E10" s="1">
        <v>4</v>
      </c>
      <c r="F10" s="1">
        <v>0.1</v>
      </c>
      <c r="G10" s="1">
        <f t="shared" si="3"/>
        <v>4.0000000000000001E-3</v>
      </c>
      <c r="H10" s="1">
        <f t="shared" si="3"/>
        <v>1E-4</v>
      </c>
    </row>
    <row r="12" spans="1:17" x14ac:dyDescent="0.35">
      <c r="M12" s="3"/>
      <c r="N12" s="3" t="s">
        <v>15</v>
      </c>
      <c r="O12" s="3" t="s">
        <v>16</v>
      </c>
      <c r="P12" s="4" t="s">
        <v>17</v>
      </c>
    </row>
    <row r="13" spans="1:17" x14ac:dyDescent="0.35">
      <c r="M13" s="1" t="s">
        <v>18</v>
      </c>
      <c r="N13" s="1">
        <f t="array" ref="N13:O14">LINEST(C2:C10,G2:G10,1,1)</f>
        <v>904.24729815393459</v>
      </c>
      <c r="O13" s="1">
        <v>13.105220014767253</v>
      </c>
      <c r="P13" s="2">
        <f>(1/(16*3.14159))*(M5)^2*(N13)^2</f>
        <v>1.0166816109372198E-11</v>
      </c>
    </row>
    <row r="14" spans="1:17" x14ac:dyDescent="0.35">
      <c r="M14" s="1" t="s">
        <v>13</v>
      </c>
      <c r="N14" s="1">
        <v>55.497475259287427</v>
      </c>
      <c r="O14" s="1">
        <v>0.72501598078926799</v>
      </c>
      <c r="P14" s="2">
        <f>P13*((2*N5/M5)^2 + (2*N14/N13)^2)^(1/2)</f>
        <v>1.8034906172795725E-12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61098-9816-4987-9341-F4AE6C3FDCBA}">
  <dimension ref="A1:L34"/>
  <sheetViews>
    <sheetView workbookViewId="0">
      <selection activeCell="D20" sqref="D20"/>
    </sheetView>
  </sheetViews>
  <sheetFormatPr defaultRowHeight="14.5" x14ac:dyDescent="0.35"/>
  <cols>
    <col min="9" max="10" width="12.26953125" bestFit="1" customWidth="1"/>
    <col min="12" max="12" width="12.26953125" bestFit="1" customWidth="1"/>
  </cols>
  <sheetData>
    <row r="1" spans="1:10" x14ac:dyDescent="0.35">
      <c r="A1" s="6" t="s">
        <v>24</v>
      </c>
      <c r="B1" s="6" t="s">
        <v>23</v>
      </c>
      <c r="C1" t="s">
        <v>25</v>
      </c>
      <c r="D1" s="6" t="s">
        <v>9</v>
      </c>
      <c r="E1" t="s">
        <v>19</v>
      </c>
      <c r="F1" s="6" t="s">
        <v>20</v>
      </c>
      <c r="I1" t="s">
        <v>21</v>
      </c>
      <c r="J1" s="6" t="s">
        <v>22</v>
      </c>
    </row>
    <row r="2" spans="1:10" x14ac:dyDescent="0.35">
      <c r="A2">
        <v>0</v>
      </c>
      <c r="B2">
        <v>1</v>
      </c>
      <c r="C2">
        <v>2.87</v>
      </c>
      <c r="D2">
        <v>0.01</v>
      </c>
      <c r="E2">
        <f>LN(C2)</f>
        <v>1.0543120297715298</v>
      </c>
      <c r="F2">
        <f>D2/C2</f>
        <v>3.4843205574912892E-3</v>
      </c>
      <c r="I2">
        <v>2.4</v>
      </c>
      <c r="J2">
        <v>0.01</v>
      </c>
    </row>
    <row r="3" spans="1:10" x14ac:dyDescent="0.35">
      <c r="A3">
        <v>30</v>
      </c>
      <c r="B3">
        <v>1</v>
      </c>
      <c r="C3">
        <v>2.73</v>
      </c>
      <c r="D3">
        <v>0.01</v>
      </c>
      <c r="E3">
        <f t="shared" ref="E3:E12" si="0">LN(C3)</f>
        <v>1.0043016091968684</v>
      </c>
      <c r="F3">
        <f t="shared" ref="F3:F12" si="1">D3/C3</f>
        <v>3.663003663003663E-3</v>
      </c>
    </row>
    <row r="4" spans="1:10" x14ac:dyDescent="0.35">
      <c r="A4">
        <v>60</v>
      </c>
      <c r="B4">
        <v>1</v>
      </c>
      <c r="C4">
        <v>2.64</v>
      </c>
      <c r="D4">
        <v>0.01</v>
      </c>
      <c r="E4">
        <f t="shared" si="0"/>
        <v>0.97077891715822484</v>
      </c>
      <c r="F4">
        <f t="shared" si="1"/>
        <v>3.787878787878788E-3</v>
      </c>
    </row>
    <row r="5" spans="1:10" x14ac:dyDescent="0.35">
      <c r="A5">
        <v>90</v>
      </c>
      <c r="B5">
        <v>1</v>
      </c>
      <c r="C5">
        <v>2.56</v>
      </c>
      <c r="D5">
        <v>0.01</v>
      </c>
      <c r="E5">
        <f t="shared" si="0"/>
        <v>0.94000725849147115</v>
      </c>
      <c r="F5">
        <f t="shared" si="1"/>
        <v>3.90625E-3</v>
      </c>
    </row>
    <row r="6" spans="1:10" x14ac:dyDescent="0.35">
      <c r="A6">
        <v>120</v>
      </c>
      <c r="B6">
        <v>1</v>
      </c>
      <c r="C6">
        <v>2.4500000000000002</v>
      </c>
      <c r="D6">
        <v>0.01</v>
      </c>
      <c r="E6">
        <f t="shared" si="0"/>
        <v>0.89608802455663572</v>
      </c>
      <c r="F6">
        <f t="shared" si="1"/>
        <v>4.081632653061224E-3</v>
      </c>
    </row>
    <row r="7" spans="1:10" x14ac:dyDescent="0.35">
      <c r="A7">
        <v>150</v>
      </c>
      <c r="B7">
        <v>1</v>
      </c>
      <c r="C7">
        <v>2.4</v>
      </c>
      <c r="D7">
        <v>0.01</v>
      </c>
      <c r="E7">
        <f t="shared" si="0"/>
        <v>0.87546873735389985</v>
      </c>
      <c r="F7">
        <f t="shared" si="1"/>
        <v>4.1666666666666666E-3</v>
      </c>
    </row>
    <row r="8" spans="1:10" x14ac:dyDescent="0.35">
      <c r="A8">
        <v>180</v>
      </c>
      <c r="B8">
        <v>1</v>
      </c>
      <c r="C8">
        <v>2.33</v>
      </c>
      <c r="D8">
        <v>0.01</v>
      </c>
      <c r="E8">
        <f t="shared" si="0"/>
        <v>0.84586826757760925</v>
      </c>
      <c r="F8">
        <f t="shared" si="1"/>
        <v>4.2918454935622317E-3</v>
      </c>
    </row>
    <row r="9" spans="1:10" x14ac:dyDescent="0.35">
      <c r="A9">
        <v>210</v>
      </c>
      <c r="B9">
        <v>1</v>
      </c>
      <c r="C9">
        <v>2.27</v>
      </c>
      <c r="D9">
        <v>0.01</v>
      </c>
      <c r="E9">
        <f t="shared" si="0"/>
        <v>0.81977983149331135</v>
      </c>
      <c r="F9">
        <f t="shared" si="1"/>
        <v>4.4052863436123352E-3</v>
      </c>
    </row>
    <row r="10" spans="1:10" x14ac:dyDescent="0.35">
      <c r="A10">
        <v>240</v>
      </c>
      <c r="B10">
        <v>1</v>
      </c>
      <c r="C10">
        <v>2.2000000000000002</v>
      </c>
      <c r="D10">
        <v>0.01</v>
      </c>
      <c r="E10">
        <f t="shared" si="0"/>
        <v>0.78845736036427028</v>
      </c>
      <c r="F10">
        <f t="shared" si="1"/>
        <v>4.5454545454545452E-3</v>
      </c>
    </row>
    <row r="11" spans="1:10" x14ac:dyDescent="0.35">
      <c r="A11">
        <v>270</v>
      </c>
      <c r="B11">
        <v>1</v>
      </c>
      <c r="C11">
        <v>2.12</v>
      </c>
      <c r="D11">
        <v>0.01</v>
      </c>
      <c r="E11">
        <f t="shared" si="0"/>
        <v>0.75141608868392118</v>
      </c>
      <c r="F11">
        <f t="shared" si="1"/>
        <v>4.7169811320754715E-3</v>
      </c>
    </row>
    <row r="12" spans="1:10" x14ac:dyDescent="0.35">
      <c r="A12">
        <v>300</v>
      </c>
      <c r="B12">
        <v>1</v>
      </c>
      <c r="C12">
        <v>2.0699999999999998</v>
      </c>
      <c r="D12">
        <v>0.01</v>
      </c>
      <c r="E12">
        <f t="shared" si="0"/>
        <v>0.72754860727727766</v>
      </c>
      <c r="F12">
        <f t="shared" si="1"/>
        <v>4.8309178743961359E-3</v>
      </c>
    </row>
    <row r="14" spans="1:10" x14ac:dyDescent="0.35">
      <c r="A14" t="s">
        <v>61</v>
      </c>
    </row>
    <row r="15" spans="1:10" x14ac:dyDescent="0.35">
      <c r="A15">
        <f>E2-(-0.0011*A2+1.0378)</f>
        <v>1.6512029771529768E-2</v>
      </c>
    </row>
    <row r="16" spans="1:10" x14ac:dyDescent="0.35">
      <c r="A16">
        <f t="shared" ref="A16:A24" si="2">E3-(-0.0011*A3+1.0378)</f>
        <v>-4.98390803131743E-4</v>
      </c>
    </row>
    <row r="17" spans="1:12" x14ac:dyDescent="0.35">
      <c r="A17">
        <f t="shared" si="2"/>
        <v>-1.0210828417751561E-3</v>
      </c>
    </row>
    <row r="18" spans="1:12" x14ac:dyDescent="0.35">
      <c r="A18">
        <f t="shared" si="2"/>
        <v>1.2072584914710749E-3</v>
      </c>
    </row>
    <row r="19" spans="1:12" x14ac:dyDescent="0.35">
      <c r="A19">
        <f t="shared" si="2"/>
        <v>-9.7119754433643291E-3</v>
      </c>
    </row>
    <row r="20" spans="1:12" x14ac:dyDescent="0.35">
      <c r="A20">
        <f t="shared" si="2"/>
        <v>2.6687373538998305E-3</v>
      </c>
    </row>
    <row r="21" spans="1:12" x14ac:dyDescent="0.35">
      <c r="A21">
        <f t="shared" si="2"/>
        <v>6.0682675776091433E-3</v>
      </c>
    </row>
    <row r="22" spans="1:12" x14ac:dyDescent="0.35">
      <c r="A22">
        <f t="shared" si="2"/>
        <v>1.2979831493311278E-2</v>
      </c>
    </row>
    <row r="23" spans="1:12" x14ac:dyDescent="0.35">
      <c r="A23">
        <f t="shared" si="2"/>
        <v>1.4657360364270233E-2</v>
      </c>
      <c r="I23" t="s">
        <v>15</v>
      </c>
      <c r="J23" t="s">
        <v>16</v>
      </c>
      <c r="L23" s="6" t="s">
        <v>26</v>
      </c>
    </row>
    <row r="24" spans="1:12" x14ac:dyDescent="0.35">
      <c r="A24">
        <f t="shared" si="2"/>
        <v>1.0616088683921165E-2</v>
      </c>
      <c r="H24" t="s">
        <v>18</v>
      </c>
      <c r="I24">
        <f t="array" ref="I24:J25">LINEST(E2:E12,A2:A12,1,1)</f>
        <v>-1.0554540836000784E-3</v>
      </c>
      <c r="J24">
        <v>1.0377750881695591</v>
      </c>
      <c r="L24">
        <f>-I24</f>
        <v>1.0554540836000784E-3</v>
      </c>
    </row>
    <row r="25" spans="1:12" x14ac:dyDescent="0.35">
      <c r="A25">
        <f>E12-(-0.0011*A12+1.0378)</f>
        <v>1.9748607277277674E-2</v>
      </c>
      <c r="H25" t="s">
        <v>13</v>
      </c>
      <c r="I25">
        <v>2.6288758891945693E-5</v>
      </c>
      <c r="J25">
        <v>4.6657918501026054E-3</v>
      </c>
      <c r="L25">
        <f>I25</f>
        <v>2.6288758891945693E-5</v>
      </c>
    </row>
    <row r="28" spans="1:12" x14ac:dyDescent="0.35">
      <c r="H28" s="10" t="s">
        <v>28</v>
      </c>
      <c r="I28" s="10"/>
      <c r="J28" s="10"/>
      <c r="K28" s="10"/>
      <c r="L28" s="10"/>
    </row>
    <row r="29" spans="1:12" x14ac:dyDescent="0.35">
      <c r="I29" t="s">
        <v>18</v>
      </c>
      <c r="J29" t="s">
        <v>13</v>
      </c>
    </row>
    <row r="30" spans="1:12" x14ac:dyDescent="0.35">
      <c r="H30" s="6" t="s">
        <v>26</v>
      </c>
      <c r="I30">
        <f>L24</f>
        <v>1.0554540836000784E-3</v>
      </c>
      <c r="J30">
        <f>L25</f>
        <v>2.6288758891945693E-5</v>
      </c>
    </row>
    <row r="31" spans="1:12" x14ac:dyDescent="0.35">
      <c r="H31" s="6" t="s">
        <v>27</v>
      </c>
      <c r="I31">
        <f>'Lambda 2'!L24</f>
        <v>8.020771113053098E-4</v>
      </c>
      <c r="J31">
        <f>'Lambda 2'!L25</f>
        <v>1.7686156955097841E-5</v>
      </c>
    </row>
    <row r="32" spans="1:12" x14ac:dyDescent="0.35">
      <c r="H32" s="6" t="s">
        <v>29</v>
      </c>
      <c r="I32">
        <f>AVERAGE(I30:I31)</f>
        <v>9.287655974526941E-4</v>
      </c>
      <c r="J32">
        <f>_xlfn.STDEV.S(I30:I31)/SQRT(2)</f>
        <v>1.2668848614738428E-4</v>
      </c>
    </row>
    <row r="34" spans="9:10" x14ac:dyDescent="0.35">
      <c r="I34">
        <v>8.9999999999999998E-4</v>
      </c>
      <c r="J34">
        <v>1E-4</v>
      </c>
    </row>
  </sheetData>
  <mergeCells count="1">
    <mergeCell ref="H28:L28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62D1-072D-4C71-9B6F-081AEFD13660}">
  <dimension ref="A1:L25"/>
  <sheetViews>
    <sheetView workbookViewId="0">
      <selection activeCell="I30" sqref="I30"/>
    </sheetView>
  </sheetViews>
  <sheetFormatPr defaultRowHeight="14.5" x14ac:dyDescent="0.35"/>
  <cols>
    <col min="9" max="9" width="12.26953125" bestFit="1" customWidth="1"/>
    <col min="10" max="10" width="8.81640625" bestFit="1" customWidth="1"/>
    <col min="12" max="12" width="12.26953125" bestFit="1" customWidth="1"/>
  </cols>
  <sheetData>
    <row r="1" spans="1:10" x14ac:dyDescent="0.35">
      <c r="A1" s="6" t="s">
        <v>24</v>
      </c>
      <c r="B1" s="6" t="s">
        <v>23</v>
      </c>
      <c r="C1" t="s">
        <v>25</v>
      </c>
      <c r="D1" s="6" t="s">
        <v>9</v>
      </c>
      <c r="E1" t="s">
        <v>19</v>
      </c>
      <c r="F1" s="6" t="s">
        <v>20</v>
      </c>
      <c r="I1" t="s">
        <v>21</v>
      </c>
      <c r="J1" s="6" t="s">
        <v>22</v>
      </c>
    </row>
    <row r="2" spans="1:10" x14ac:dyDescent="0.35">
      <c r="A2">
        <v>0</v>
      </c>
      <c r="B2">
        <v>1</v>
      </c>
      <c r="C2">
        <v>2.96</v>
      </c>
      <c r="D2">
        <v>0.01</v>
      </c>
      <c r="E2">
        <f>LN(C2)</f>
        <v>1.085189268335969</v>
      </c>
      <c r="F2">
        <f>D2/C2</f>
        <v>3.3783783783783786E-3</v>
      </c>
      <c r="I2">
        <v>2.4</v>
      </c>
      <c r="J2">
        <v>0.01</v>
      </c>
    </row>
    <row r="3" spans="1:10" x14ac:dyDescent="0.35">
      <c r="A3">
        <v>30</v>
      </c>
      <c r="B3">
        <v>1</v>
      </c>
      <c r="C3">
        <v>2.9</v>
      </c>
      <c r="D3">
        <v>0.01</v>
      </c>
      <c r="E3">
        <f t="shared" ref="E3:E12" si="0">LN(C3)</f>
        <v>1.0647107369924282</v>
      </c>
      <c r="F3">
        <f t="shared" ref="F3:F12" si="1">D3/C3</f>
        <v>3.4482758620689659E-3</v>
      </c>
    </row>
    <row r="4" spans="1:10" x14ac:dyDescent="0.35">
      <c r="A4">
        <v>60</v>
      </c>
      <c r="B4">
        <v>1</v>
      </c>
      <c r="C4">
        <v>2.83</v>
      </c>
      <c r="D4">
        <v>0.01</v>
      </c>
      <c r="E4">
        <f t="shared" si="0"/>
        <v>1.0402767116551463</v>
      </c>
      <c r="F4">
        <f t="shared" si="1"/>
        <v>3.5335689045936395E-3</v>
      </c>
    </row>
    <row r="5" spans="1:10" x14ac:dyDescent="0.35">
      <c r="A5">
        <v>90</v>
      </c>
      <c r="B5">
        <v>1</v>
      </c>
      <c r="C5">
        <v>2.75</v>
      </c>
      <c r="D5">
        <v>0.01</v>
      </c>
      <c r="E5">
        <f t="shared" si="0"/>
        <v>1.0116009116784799</v>
      </c>
      <c r="F5">
        <f t="shared" si="1"/>
        <v>3.6363636363636364E-3</v>
      </c>
    </row>
    <row r="6" spans="1:10" x14ac:dyDescent="0.35">
      <c r="A6">
        <v>120</v>
      </c>
      <c r="B6">
        <v>1</v>
      </c>
      <c r="C6">
        <v>2.68</v>
      </c>
      <c r="D6">
        <v>0.01</v>
      </c>
      <c r="E6">
        <f t="shared" si="0"/>
        <v>0.98581679452276538</v>
      </c>
      <c r="F6">
        <f t="shared" si="1"/>
        <v>3.7313432835820895E-3</v>
      </c>
    </row>
    <row r="7" spans="1:10" x14ac:dyDescent="0.35">
      <c r="A7">
        <v>150</v>
      </c>
      <c r="B7">
        <v>1</v>
      </c>
      <c r="C7">
        <v>2.62</v>
      </c>
      <c r="D7">
        <v>0.01</v>
      </c>
      <c r="E7">
        <f t="shared" si="0"/>
        <v>0.96317431777300555</v>
      </c>
      <c r="F7">
        <f t="shared" si="1"/>
        <v>3.8167938931297708E-3</v>
      </c>
    </row>
    <row r="8" spans="1:10" x14ac:dyDescent="0.35">
      <c r="A8">
        <v>180</v>
      </c>
      <c r="B8">
        <v>1</v>
      </c>
      <c r="C8">
        <v>2.5299999999999998</v>
      </c>
      <c r="D8">
        <v>0.01</v>
      </c>
      <c r="E8">
        <f t="shared" si="0"/>
        <v>0.92821930273942876</v>
      </c>
      <c r="F8">
        <f t="shared" si="1"/>
        <v>3.9525691699604749E-3</v>
      </c>
    </row>
    <row r="9" spans="1:10" x14ac:dyDescent="0.35">
      <c r="A9">
        <v>210</v>
      </c>
      <c r="B9">
        <v>1</v>
      </c>
      <c r="C9">
        <v>2.4900000000000002</v>
      </c>
      <c r="D9">
        <v>0.01</v>
      </c>
      <c r="E9">
        <f t="shared" si="0"/>
        <v>0.91228271047661635</v>
      </c>
      <c r="F9">
        <f t="shared" si="1"/>
        <v>4.0160642570281121E-3</v>
      </c>
    </row>
    <row r="10" spans="1:10" x14ac:dyDescent="0.35">
      <c r="A10">
        <v>240</v>
      </c>
      <c r="B10">
        <v>1</v>
      </c>
      <c r="C10">
        <v>2.46</v>
      </c>
      <c r="D10">
        <v>0.01</v>
      </c>
      <c r="E10">
        <f t="shared" si="0"/>
        <v>0.90016134994427144</v>
      </c>
      <c r="F10">
        <f t="shared" si="1"/>
        <v>4.0650406504065045E-3</v>
      </c>
    </row>
    <row r="11" spans="1:10" x14ac:dyDescent="0.35">
      <c r="A11">
        <v>270</v>
      </c>
      <c r="B11">
        <v>1</v>
      </c>
      <c r="C11">
        <v>2.39</v>
      </c>
      <c r="D11">
        <v>0.01</v>
      </c>
      <c r="E11">
        <f t="shared" si="0"/>
        <v>0.87129336594341933</v>
      </c>
      <c r="F11">
        <f t="shared" si="1"/>
        <v>4.1841004184100415E-3</v>
      </c>
    </row>
    <row r="12" spans="1:10" x14ac:dyDescent="0.35">
      <c r="A12">
        <v>300</v>
      </c>
      <c r="B12">
        <v>1</v>
      </c>
      <c r="C12">
        <v>2.33</v>
      </c>
      <c r="D12">
        <v>0.01</v>
      </c>
      <c r="E12">
        <f t="shared" si="0"/>
        <v>0.84586826757760925</v>
      </c>
      <c r="F12">
        <f t="shared" si="1"/>
        <v>4.2918454935622317E-3</v>
      </c>
    </row>
    <row r="23" spans="8:12" x14ac:dyDescent="0.35">
      <c r="I23" t="s">
        <v>15</v>
      </c>
      <c r="J23" t="s">
        <v>16</v>
      </c>
      <c r="L23" s="6" t="s">
        <v>27</v>
      </c>
    </row>
    <row r="24" spans="8:12" x14ac:dyDescent="0.35">
      <c r="H24" t="s">
        <v>18</v>
      </c>
      <c r="I24">
        <f t="array" ref="I24:J25">LINEST(E2:E12,A2:A12,1,1)</f>
        <v>-8.020771113053098E-4</v>
      </c>
      <c r="J24">
        <v>1.0847291792084457</v>
      </c>
      <c r="L24">
        <f>-I24</f>
        <v>8.020771113053098E-4</v>
      </c>
    </row>
    <row r="25" spans="8:12" x14ac:dyDescent="0.35">
      <c r="H25" t="s">
        <v>13</v>
      </c>
      <c r="I25">
        <v>1.7686156955097841E-5</v>
      </c>
      <c r="J25">
        <v>3.1389814680834295E-3</v>
      </c>
      <c r="L25">
        <f>I25</f>
        <v>1.7686156955097841E-5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6D283-DC3C-405E-B13E-3C3E28D2169E}">
  <dimension ref="A1:O301"/>
  <sheetViews>
    <sheetView workbookViewId="0">
      <selection activeCell="K2" sqref="K2"/>
    </sheetView>
  </sheetViews>
  <sheetFormatPr defaultRowHeight="14.5" x14ac:dyDescent="0.35"/>
  <cols>
    <col min="14" max="14" width="12.26953125" bestFit="1" customWidth="1"/>
    <col min="15" max="15" width="8.81640625" bestFit="1" customWidth="1"/>
  </cols>
  <sheetData>
    <row r="1" spans="1:14" x14ac:dyDescent="0.35">
      <c r="A1" t="s">
        <v>35</v>
      </c>
      <c r="B1" t="s">
        <v>36</v>
      </c>
      <c r="C1" t="s">
        <v>30</v>
      </c>
      <c r="D1" t="s">
        <v>37</v>
      </c>
      <c r="H1" t="s">
        <v>32</v>
      </c>
      <c r="I1" s="6" t="s">
        <v>31</v>
      </c>
      <c r="J1" t="s">
        <v>33</v>
      </c>
      <c r="K1" s="6" t="s">
        <v>34</v>
      </c>
      <c r="M1" s="3" t="s">
        <v>12</v>
      </c>
      <c r="N1" s="3" t="s">
        <v>13</v>
      </c>
    </row>
    <row r="2" spans="1:14" x14ac:dyDescent="0.35">
      <c r="A2">
        <v>0</v>
      </c>
      <c r="B2">
        <v>4</v>
      </c>
      <c r="C2">
        <f>B2/1000</f>
        <v>4.0000000000000001E-3</v>
      </c>
      <c r="D2">
        <f>LN(C2)</f>
        <v>-5.521460917862246</v>
      </c>
      <c r="H2">
        <v>2.96</v>
      </c>
      <c r="I2">
        <v>0.01</v>
      </c>
      <c r="J2" s="5">
        <f>M$2 * H2</f>
        <v>2.96E-8</v>
      </c>
      <c r="K2" s="5">
        <f>J2 * ((N$2/M$2)^2 + (I2/H2)^2)^(1/2)</f>
        <v>1.4833745312630929E-9</v>
      </c>
      <c r="M2" s="2">
        <v>1E-8</v>
      </c>
      <c r="N2" s="2">
        <v>5.0000000000000003E-10</v>
      </c>
    </row>
    <row r="3" spans="1:14" x14ac:dyDescent="0.35">
      <c r="A3">
        <v>1</v>
      </c>
      <c r="B3">
        <v>4</v>
      </c>
      <c r="C3">
        <f t="shared" ref="C3:C66" si="0">B3/1000</f>
        <v>4.0000000000000001E-3</v>
      </c>
      <c r="D3">
        <f t="shared" ref="D3:D66" si="1">LN(C3)</f>
        <v>-5.521460917862246</v>
      </c>
    </row>
    <row r="4" spans="1:14" x14ac:dyDescent="0.35">
      <c r="A4">
        <v>2</v>
      </c>
      <c r="B4">
        <v>4</v>
      </c>
      <c r="C4">
        <f t="shared" si="0"/>
        <v>4.0000000000000001E-3</v>
      </c>
      <c r="D4">
        <f t="shared" si="1"/>
        <v>-5.521460917862246</v>
      </c>
    </row>
    <row r="5" spans="1:14" x14ac:dyDescent="0.35">
      <c r="A5">
        <v>3</v>
      </c>
      <c r="B5">
        <v>4</v>
      </c>
      <c r="C5">
        <f t="shared" si="0"/>
        <v>4.0000000000000001E-3</v>
      </c>
      <c r="D5">
        <f t="shared" si="1"/>
        <v>-5.521460917862246</v>
      </c>
    </row>
    <row r="6" spans="1:14" x14ac:dyDescent="0.35">
      <c r="A6">
        <v>4</v>
      </c>
      <c r="B6">
        <v>4</v>
      </c>
      <c r="C6">
        <f t="shared" si="0"/>
        <v>4.0000000000000001E-3</v>
      </c>
      <c r="D6">
        <f t="shared" si="1"/>
        <v>-5.521460917862246</v>
      </c>
    </row>
    <row r="7" spans="1:14" x14ac:dyDescent="0.35">
      <c r="A7">
        <v>5</v>
      </c>
      <c r="B7">
        <v>3.9</v>
      </c>
      <c r="C7">
        <f t="shared" si="0"/>
        <v>3.8999999999999998E-3</v>
      </c>
      <c r="D7">
        <f t="shared" si="1"/>
        <v>-5.5467787258465364</v>
      </c>
    </row>
    <row r="8" spans="1:14" x14ac:dyDescent="0.35">
      <c r="A8">
        <v>6</v>
      </c>
      <c r="B8">
        <v>3.9</v>
      </c>
      <c r="C8">
        <f t="shared" si="0"/>
        <v>3.8999999999999998E-3</v>
      </c>
      <c r="D8">
        <f t="shared" si="1"/>
        <v>-5.5467787258465364</v>
      </c>
    </row>
    <row r="9" spans="1:14" x14ac:dyDescent="0.35">
      <c r="A9">
        <v>7</v>
      </c>
      <c r="B9">
        <v>4</v>
      </c>
      <c r="C9">
        <f t="shared" si="0"/>
        <v>4.0000000000000001E-3</v>
      </c>
      <c r="D9">
        <f t="shared" si="1"/>
        <v>-5.521460917862246</v>
      </c>
    </row>
    <row r="10" spans="1:14" x14ac:dyDescent="0.35">
      <c r="A10">
        <v>8</v>
      </c>
      <c r="B10">
        <v>3.9</v>
      </c>
      <c r="C10">
        <f t="shared" si="0"/>
        <v>3.8999999999999998E-3</v>
      </c>
      <c r="D10">
        <f t="shared" si="1"/>
        <v>-5.5467787258465364</v>
      </c>
    </row>
    <row r="11" spans="1:14" x14ac:dyDescent="0.35">
      <c r="A11">
        <v>9</v>
      </c>
      <c r="B11">
        <v>3.9</v>
      </c>
      <c r="C11">
        <f t="shared" si="0"/>
        <v>3.8999999999999998E-3</v>
      </c>
      <c r="D11">
        <f t="shared" si="1"/>
        <v>-5.5467787258465364</v>
      </c>
    </row>
    <row r="12" spans="1:14" x14ac:dyDescent="0.35">
      <c r="A12">
        <v>10</v>
      </c>
      <c r="B12">
        <v>3.9</v>
      </c>
      <c r="C12">
        <f t="shared" si="0"/>
        <v>3.8999999999999998E-3</v>
      </c>
      <c r="D12">
        <f t="shared" si="1"/>
        <v>-5.5467787258465364</v>
      </c>
    </row>
    <row r="13" spans="1:14" x14ac:dyDescent="0.35">
      <c r="A13">
        <v>11</v>
      </c>
      <c r="B13">
        <v>3.9</v>
      </c>
      <c r="C13">
        <f t="shared" si="0"/>
        <v>3.8999999999999998E-3</v>
      </c>
      <c r="D13">
        <f t="shared" si="1"/>
        <v>-5.5467787258465364</v>
      </c>
    </row>
    <row r="14" spans="1:14" x14ac:dyDescent="0.35">
      <c r="A14">
        <v>12</v>
      </c>
      <c r="B14">
        <v>4</v>
      </c>
      <c r="C14">
        <f t="shared" si="0"/>
        <v>4.0000000000000001E-3</v>
      </c>
      <c r="D14">
        <f t="shared" si="1"/>
        <v>-5.521460917862246</v>
      </c>
    </row>
    <row r="15" spans="1:14" x14ac:dyDescent="0.35">
      <c r="A15">
        <v>13</v>
      </c>
      <c r="B15">
        <v>3.9</v>
      </c>
      <c r="C15">
        <f t="shared" si="0"/>
        <v>3.8999999999999998E-3</v>
      </c>
      <c r="D15">
        <f t="shared" si="1"/>
        <v>-5.5467787258465364</v>
      </c>
    </row>
    <row r="16" spans="1:14" x14ac:dyDescent="0.35">
      <c r="A16">
        <v>14</v>
      </c>
      <c r="B16">
        <v>3.9</v>
      </c>
      <c r="C16">
        <f t="shared" si="0"/>
        <v>3.8999999999999998E-3</v>
      </c>
      <c r="D16">
        <f t="shared" si="1"/>
        <v>-5.5467787258465364</v>
      </c>
    </row>
    <row r="17" spans="1:15" x14ac:dyDescent="0.35">
      <c r="A17">
        <v>15</v>
      </c>
      <c r="B17">
        <v>3.9</v>
      </c>
      <c r="C17">
        <f t="shared" si="0"/>
        <v>3.8999999999999998E-3</v>
      </c>
      <c r="D17">
        <f t="shared" si="1"/>
        <v>-5.5467787258465364</v>
      </c>
    </row>
    <row r="18" spans="1:15" x14ac:dyDescent="0.35">
      <c r="A18">
        <v>16</v>
      </c>
      <c r="B18">
        <v>4</v>
      </c>
      <c r="C18">
        <f t="shared" si="0"/>
        <v>4.0000000000000001E-3</v>
      </c>
      <c r="D18">
        <f t="shared" si="1"/>
        <v>-5.521460917862246</v>
      </c>
    </row>
    <row r="19" spans="1:15" x14ac:dyDescent="0.35">
      <c r="A19">
        <v>17</v>
      </c>
      <c r="B19">
        <v>3.9</v>
      </c>
      <c r="C19">
        <f t="shared" si="0"/>
        <v>3.8999999999999998E-3</v>
      </c>
      <c r="D19">
        <f t="shared" si="1"/>
        <v>-5.5467787258465364</v>
      </c>
    </row>
    <row r="20" spans="1:15" x14ac:dyDescent="0.35">
      <c r="A20">
        <v>18</v>
      </c>
      <c r="B20">
        <v>3.9</v>
      </c>
      <c r="C20">
        <f t="shared" si="0"/>
        <v>3.8999999999999998E-3</v>
      </c>
      <c r="D20">
        <f t="shared" si="1"/>
        <v>-5.5467787258465364</v>
      </c>
    </row>
    <row r="21" spans="1:15" x14ac:dyDescent="0.35">
      <c r="A21">
        <v>19</v>
      </c>
      <c r="B21">
        <v>3.9</v>
      </c>
      <c r="C21">
        <f t="shared" si="0"/>
        <v>3.8999999999999998E-3</v>
      </c>
      <c r="D21">
        <f t="shared" si="1"/>
        <v>-5.5467787258465364</v>
      </c>
    </row>
    <row r="22" spans="1:15" x14ac:dyDescent="0.35">
      <c r="A22">
        <v>20</v>
      </c>
      <c r="B22">
        <v>3.9</v>
      </c>
      <c r="C22">
        <f t="shared" si="0"/>
        <v>3.8999999999999998E-3</v>
      </c>
      <c r="D22">
        <f t="shared" si="1"/>
        <v>-5.5467787258465364</v>
      </c>
      <c r="N22" t="s">
        <v>15</v>
      </c>
      <c r="O22" t="s">
        <v>16</v>
      </c>
    </row>
    <row r="23" spans="1:15" x14ac:dyDescent="0.35">
      <c r="A23">
        <v>21</v>
      </c>
      <c r="B23">
        <v>3.9</v>
      </c>
      <c r="C23">
        <f t="shared" si="0"/>
        <v>3.8999999999999998E-3</v>
      </c>
      <c r="D23">
        <f t="shared" si="1"/>
        <v>-5.5467787258465364</v>
      </c>
      <c r="M23" t="s">
        <v>18</v>
      </c>
      <c r="N23">
        <f t="array" ref="N23:O24">LINEST(D2:D301,A2:A301,1,1)</f>
        <v>-8.3802431067398766E-4</v>
      </c>
      <c r="O23">
        <v>-5.5560374485072295</v>
      </c>
    </row>
    <row r="24" spans="1:15" x14ac:dyDescent="0.35">
      <c r="A24">
        <v>22</v>
      </c>
      <c r="B24">
        <v>3.8</v>
      </c>
      <c r="C24">
        <f t="shared" si="0"/>
        <v>3.8E-3</v>
      </c>
      <c r="D24">
        <f t="shared" si="1"/>
        <v>-5.5727542122497971</v>
      </c>
      <c r="M24" t="s">
        <v>13</v>
      </c>
      <c r="N24">
        <v>1.4842603910371742E-5</v>
      </c>
      <c r="O24">
        <v>2.5643864780348384E-3</v>
      </c>
    </row>
    <row r="25" spans="1:15" x14ac:dyDescent="0.35">
      <c r="A25">
        <v>23</v>
      </c>
      <c r="B25">
        <v>3.8</v>
      </c>
      <c r="C25">
        <f t="shared" si="0"/>
        <v>3.8E-3</v>
      </c>
      <c r="D25">
        <f t="shared" si="1"/>
        <v>-5.5727542122497971</v>
      </c>
    </row>
    <row r="26" spans="1:15" x14ac:dyDescent="0.35">
      <c r="A26">
        <v>24</v>
      </c>
      <c r="B26">
        <v>3.8</v>
      </c>
      <c r="C26">
        <f t="shared" si="0"/>
        <v>3.8E-3</v>
      </c>
      <c r="D26">
        <f t="shared" si="1"/>
        <v>-5.5727542122497971</v>
      </c>
    </row>
    <row r="27" spans="1:15" x14ac:dyDescent="0.35">
      <c r="A27">
        <v>25</v>
      </c>
      <c r="B27">
        <v>3.9</v>
      </c>
      <c r="C27">
        <f t="shared" si="0"/>
        <v>3.8999999999999998E-3</v>
      </c>
      <c r="D27">
        <f t="shared" si="1"/>
        <v>-5.5467787258465364</v>
      </c>
    </row>
    <row r="28" spans="1:15" x14ac:dyDescent="0.35">
      <c r="A28">
        <v>26</v>
      </c>
      <c r="B28">
        <v>3.8</v>
      </c>
      <c r="C28">
        <f t="shared" si="0"/>
        <v>3.8E-3</v>
      </c>
      <c r="D28">
        <f t="shared" si="1"/>
        <v>-5.5727542122497971</v>
      </c>
    </row>
    <row r="29" spans="1:15" x14ac:dyDescent="0.35">
      <c r="A29">
        <v>27</v>
      </c>
      <c r="B29">
        <v>3.8</v>
      </c>
      <c r="C29">
        <f t="shared" si="0"/>
        <v>3.8E-3</v>
      </c>
      <c r="D29">
        <f t="shared" si="1"/>
        <v>-5.5727542122497971</v>
      </c>
    </row>
    <row r="30" spans="1:15" x14ac:dyDescent="0.35">
      <c r="A30">
        <v>28</v>
      </c>
      <c r="B30">
        <v>3.9</v>
      </c>
      <c r="C30">
        <f t="shared" si="0"/>
        <v>3.8999999999999998E-3</v>
      </c>
      <c r="D30">
        <f t="shared" si="1"/>
        <v>-5.5467787258465364</v>
      </c>
    </row>
    <row r="31" spans="1:15" x14ac:dyDescent="0.35">
      <c r="A31">
        <v>29</v>
      </c>
      <c r="B31">
        <v>3.9</v>
      </c>
      <c r="C31">
        <f t="shared" si="0"/>
        <v>3.8999999999999998E-3</v>
      </c>
      <c r="D31">
        <f t="shared" si="1"/>
        <v>-5.5467787258465364</v>
      </c>
    </row>
    <row r="32" spans="1:15" x14ac:dyDescent="0.35">
      <c r="A32">
        <v>30</v>
      </c>
      <c r="B32">
        <v>3.9</v>
      </c>
      <c r="C32">
        <f t="shared" si="0"/>
        <v>3.8999999999999998E-3</v>
      </c>
      <c r="D32">
        <f t="shared" si="1"/>
        <v>-5.5467787258465364</v>
      </c>
    </row>
    <row r="33" spans="1:4" x14ac:dyDescent="0.35">
      <c r="A33">
        <v>31</v>
      </c>
      <c r="B33">
        <v>3.9</v>
      </c>
      <c r="C33">
        <f t="shared" si="0"/>
        <v>3.8999999999999998E-3</v>
      </c>
      <c r="D33">
        <f t="shared" si="1"/>
        <v>-5.5467787258465364</v>
      </c>
    </row>
    <row r="34" spans="1:4" x14ac:dyDescent="0.35">
      <c r="A34">
        <v>32</v>
      </c>
      <c r="B34">
        <v>3.9</v>
      </c>
      <c r="C34">
        <f t="shared" si="0"/>
        <v>3.8999999999999998E-3</v>
      </c>
      <c r="D34">
        <f t="shared" si="1"/>
        <v>-5.5467787258465364</v>
      </c>
    </row>
    <row r="35" spans="1:4" x14ac:dyDescent="0.35">
      <c r="A35">
        <v>33</v>
      </c>
      <c r="B35">
        <v>3.9</v>
      </c>
      <c r="C35">
        <f t="shared" si="0"/>
        <v>3.8999999999999998E-3</v>
      </c>
      <c r="D35">
        <f t="shared" si="1"/>
        <v>-5.5467787258465364</v>
      </c>
    </row>
    <row r="36" spans="1:4" x14ac:dyDescent="0.35">
      <c r="A36">
        <v>34</v>
      </c>
      <c r="B36">
        <v>3.9</v>
      </c>
      <c r="C36">
        <f t="shared" si="0"/>
        <v>3.8999999999999998E-3</v>
      </c>
      <c r="D36">
        <f t="shared" si="1"/>
        <v>-5.5467787258465364</v>
      </c>
    </row>
    <row r="37" spans="1:4" x14ac:dyDescent="0.35">
      <c r="A37">
        <v>35</v>
      </c>
      <c r="B37">
        <v>3.9</v>
      </c>
      <c r="C37">
        <f t="shared" si="0"/>
        <v>3.8999999999999998E-3</v>
      </c>
      <c r="D37">
        <f t="shared" si="1"/>
        <v>-5.5467787258465364</v>
      </c>
    </row>
    <row r="38" spans="1:4" x14ac:dyDescent="0.35">
      <c r="A38">
        <v>36</v>
      </c>
      <c r="B38">
        <v>3.8</v>
      </c>
      <c r="C38">
        <f t="shared" si="0"/>
        <v>3.8E-3</v>
      </c>
      <c r="D38">
        <f t="shared" si="1"/>
        <v>-5.5727542122497971</v>
      </c>
    </row>
    <row r="39" spans="1:4" x14ac:dyDescent="0.35">
      <c r="A39">
        <v>37</v>
      </c>
      <c r="B39">
        <v>3.8</v>
      </c>
      <c r="C39">
        <f t="shared" si="0"/>
        <v>3.8E-3</v>
      </c>
      <c r="D39">
        <f t="shared" si="1"/>
        <v>-5.5727542122497971</v>
      </c>
    </row>
    <row r="40" spans="1:4" x14ac:dyDescent="0.35">
      <c r="A40">
        <v>38</v>
      </c>
      <c r="B40">
        <v>3.8</v>
      </c>
      <c r="C40">
        <f t="shared" si="0"/>
        <v>3.8E-3</v>
      </c>
      <c r="D40">
        <f t="shared" si="1"/>
        <v>-5.5727542122497971</v>
      </c>
    </row>
    <row r="41" spans="1:4" x14ac:dyDescent="0.35">
      <c r="A41">
        <v>39</v>
      </c>
      <c r="B41">
        <v>3.8</v>
      </c>
      <c r="C41">
        <f t="shared" si="0"/>
        <v>3.8E-3</v>
      </c>
      <c r="D41">
        <f t="shared" si="1"/>
        <v>-5.5727542122497971</v>
      </c>
    </row>
    <row r="42" spans="1:4" x14ac:dyDescent="0.35">
      <c r="A42">
        <v>40</v>
      </c>
      <c r="B42">
        <v>3.8</v>
      </c>
      <c r="C42">
        <f t="shared" si="0"/>
        <v>3.8E-3</v>
      </c>
      <c r="D42">
        <f t="shared" si="1"/>
        <v>-5.5727542122497971</v>
      </c>
    </row>
    <row r="43" spans="1:4" x14ac:dyDescent="0.35">
      <c r="A43">
        <v>41</v>
      </c>
      <c r="B43">
        <v>3.8</v>
      </c>
      <c r="C43">
        <f t="shared" si="0"/>
        <v>3.8E-3</v>
      </c>
      <c r="D43">
        <f t="shared" si="1"/>
        <v>-5.5727542122497971</v>
      </c>
    </row>
    <row r="44" spans="1:4" x14ac:dyDescent="0.35">
      <c r="A44">
        <v>42</v>
      </c>
      <c r="B44">
        <v>3.8</v>
      </c>
      <c r="C44">
        <f t="shared" si="0"/>
        <v>3.8E-3</v>
      </c>
      <c r="D44">
        <f t="shared" si="1"/>
        <v>-5.5727542122497971</v>
      </c>
    </row>
    <row r="45" spans="1:4" x14ac:dyDescent="0.35">
      <c r="A45">
        <v>43</v>
      </c>
      <c r="B45">
        <v>3.8</v>
      </c>
      <c r="C45">
        <f t="shared" si="0"/>
        <v>3.8E-3</v>
      </c>
      <c r="D45">
        <f t="shared" si="1"/>
        <v>-5.5727542122497971</v>
      </c>
    </row>
    <row r="46" spans="1:4" x14ac:dyDescent="0.35">
      <c r="A46">
        <v>44</v>
      </c>
      <c r="B46">
        <v>3.8</v>
      </c>
      <c r="C46">
        <f t="shared" si="0"/>
        <v>3.8E-3</v>
      </c>
      <c r="D46">
        <f t="shared" si="1"/>
        <v>-5.5727542122497971</v>
      </c>
    </row>
    <row r="47" spans="1:4" x14ac:dyDescent="0.35">
      <c r="A47">
        <v>45</v>
      </c>
      <c r="B47">
        <v>3.7</v>
      </c>
      <c r="C47">
        <f t="shared" si="0"/>
        <v>3.7000000000000002E-3</v>
      </c>
      <c r="D47">
        <f t="shared" si="1"/>
        <v>-5.5994224593319579</v>
      </c>
    </row>
    <row r="48" spans="1:4" x14ac:dyDescent="0.35">
      <c r="A48">
        <v>46</v>
      </c>
      <c r="B48">
        <v>3.8</v>
      </c>
      <c r="C48">
        <f t="shared" si="0"/>
        <v>3.8E-3</v>
      </c>
      <c r="D48">
        <f t="shared" si="1"/>
        <v>-5.5727542122497971</v>
      </c>
    </row>
    <row r="49" spans="1:4" x14ac:dyDescent="0.35">
      <c r="A49">
        <v>47</v>
      </c>
      <c r="B49">
        <v>3.7</v>
      </c>
      <c r="C49">
        <f t="shared" si="0"/>
        <v>3.7000000000000002E-3</v>
      </c>
      <c r="D49">
        <f t="shared" si="1"/>
        <v>-5.5994224593319579</v>
      </c>
    </row>
    <row r="50" spans="1:4" x14ac:dyDescent="0.35">
      <c r="A50">
        <v>48</v>
      </c>
      <c r="B50">
        <v>3.7</v>
      </c>
      <c r="C50">
        <f t="shared" si="0"/>
        <v>3.7000000000000002E-3</v>
      </c>
      <c r="D50">
        <f t="shared" si="1"/>
        <v>-5.5994224593319579</v>
      </c>
    </row>
    <row r="51" spans="1:4" x14ac:dyDescent="0.35">
      <c r="A51">
        <v>49</v>
      </c>
      <c r="B51">
        <v>3.8</v>
      </c>
      <c r="C51">
        <f t="shared" si="0"/>
        <v>3.8E-3</v>
      </c>
      <c r="D51">
        <f t="shared" si="1"/>
        <v>-5.5727542122497971</v>
      </c>
    </row>
    <row r="52" spans="1:4" x14ac:dyDescent="0.35">
      <c r="A52">
        <v>50</v>
      </c>
      <c r="B52">
        <v>3.7</v>
      </c>
      <c r="C52">
        <f t="shared" si="0"/>
        <v>3.7000000000000002E-3</v>
      </c>
      <c r="D52">
        <f t="shared" si="1"/>
        <v>-5.5994224593319579</v>
      </c>
    </row>
    <row r="53" spans="1:4" x14ac:dyDescent="0.35">
      <c r="A53">
        <v>51</v>
      </c>
      <c r="B53">
        <v>3.7</v>
      </c>
      <c r="C53">
        <f t="shared" si="0"/>
        <v>3.7000000000000002E-3</v>
      </c>
      <c r="D53">
        <f t="shared" si="1"/>
        <v>-5.5994224593319579</v>
      </c>
    </row>
    <row r="54" spans="1:4" x14ac:dyDescent="0.35">
      <c r="A54">
        <v>52</v>
      </c>
      <c r="B54">
        <v>3.7</v>
      </c>
      <c r="C54">
        <f t="shared" si="0"/>
        <v>3.7000000000000002E-3</v>
      </c>
      <c r="D54">
        <f t="shared" si="1"/>
        <v>-5.5994224593319579</v>
      </c>
    </row>
    <row r="55" spans="1:4" x14ac:dyDescent="0.35">
      <c r="A55">
        <v>53</v>
      </c>
      <c r="B55">
        <v>3.7</v>
      </c>
      <c r="C55">
        <f t="shared" si="0"/>
        <v>3.7000000000000002E-3</v>
      </c>
      <c r="D55">
        <f t="shared" si="1"/>
        <v>-5.5994224593319579</v>
      </c>
    </row>
    <row r="56" spans="1:4" x14ac:dyDescent="0.35">
      <c r="A56">
        <v>54</v>
      </c>
      <c r="B56">
        <v>3.7</v>
      </c>
      <c r="C56">
        <f t="shared" si="0"/>
        <v>3.7000000000000002E-3</v>
      </c>
      <c r="D56">
        <f t="shared" si="1"/>
        <v>-5.5994224593319579</v>
      </c>
    </row>
    <row r="57" spans="1:4" x14ac:dyDescent="0.35">
      <c r="A57">
        <v>55</v>
      </c>
      <c r="B57">
        <v>3.7</v>
      </c>
      <c r="C57">
        <f t="shared" si="0"/>
        <v>3.7000000000000002E-3</v>
      </c>
      <c r="D57">
        <f t="shared" si="1"/>
        <v>-5.5994224593319579</v>
      </c>
    </row>
    <row r="58" spans="1:4" x14ac:dyDescent="0.35">
      <c r="A58">
        <v>56</v>
      </c>
      <c r="B58">
        <v>3.7</v>
      </c>
      <c r="C58">
        <f t="shared" si="0"/>
        <v>3.7000000000000002E-3</v>
      </c>
      <c r="D58">
        <f t="shared" si="1"/>
        <v>-5.5994224593319579</v>
      </c>
    </row>
    <row r="59" spans="1:4" x14ac:dyDescent="0.35">
      <c r="A59">
        <v>57</v>
      </c>
      <c r="B59">
        <v>3.7</v>
      </c>
      <c r="C59">
        <f t="shared" si="0"/>
        <v>3.7000000000000002E-3</v>
      </c>
      <c r="D59">
        <f t="shared" si="1"/>
        <v>-5.5994224593319579</v>
      </c>
    </row>
    <row r="60" spans="1:4" x14ac:dyDescent="0.35">
      <c r="A60">
        <v>58</v>
      </c>
      <c r="B60">
        <v>3.7</v>
      </c>
      <c r="C60">
        <f t="shared" si="0"/>
        <v>3.7000000000000002E-3</v>
      </c>
      <c r="D60">
        <f t="shared" si="1"/>
        <v>-5.5994224593319579</v>
      </c>
    </row>
    <row r="61" spans="1:4" x14ac:dyDescent="0.35">
      <c r="A61">
        <v>59</v>
      </c>
      <c r="B61">
        <v>3.7</v>
      </c>
      <c r="C61">
        <f t="shared" si="0"/>
        <v>3.7000000000000002E-3</v>
      </c>
      <c r="D61">
        <f t="shared" si="1"/>
        <v>-5.5994224593319579</v>
      </c>
    </row>
    <row r="62" spans="1:4" x14ac:dyDescent="0.35">
      <c r="A62">
        <v>60</v>
      </c>
      <c r="B62">
        <v>3.7</v>
      </c>
      <c r="C62">
        <f t="shared" si="0"/>
        <v>3.7000000000000002E-3</v>
      </c>
      <c r="D62">
        <f t="shared" si="1"/>
        <v>-5.5994224593319579</v>
      </c>
    </row>
    <row r="63" spans="1:4" x14ac:dyDescent="0.35">
      <c r="A63">
        <v>61</v>
      </c>
      <c r="B63">
        <v>3.6</v>
      </c>
      <c r="C63">
        <f t="shared" si="0"/>
        <v>3.5999999999999999E-3</v>
      </c>
      <c r="D63">
        <f t="shared" si="1"/>
        <v>-5.6268214335200728</v>
      </c>
    </row>
    <row r="64" spans="1:4" x14ac:dyDescent="0.35">
      <c r="A64">
        <v>62</v>
      </c>
      <c r="B64">
        <v>3.7</v>
      </c>
      <c r="C64">
        <f t="shared" si="0"/>
        <v>3.7000000000000002E-3</v>
      </c>
      <c r="D64">
        <f t="shared" si="1"/>
        <v>-5.5994224593319579</v>
      </c>
    </row>
    <row r="65" spans="1:4" x14ac:dyDescent="0.35">
      <c r="A65">
        <v>63</v>
      </c>
      <c r="B65">
        <v>3.7</v>
      </c>
      <c r="C65">
        <f t="shared" si="0"/>
        <v>3.7000000000000002E-3</v>
      </c>
      <c r="D65">
        <f t="shared" si="1"/>
        <v>-5.5994224593319579</v>
      </c>
    </row>
    <row r="66" spans="1:4" x14ac:dyDescent="0.35">
      <c r="A66">
        <v>64</v>
      </c>
      <c r="B66">
        <v>3.7</v>
      </c>
      <c r="C66">
        <f t="shared" si="0"/>
        <v>3.7000000000000002E-3</v>
      </c>
      <c r="D66">
        <f t="shared" si="1"/>
        <v>-5.5994224593319579</v>
      </c>
    </row>
    <row r="67" spans="1:4" x14ac:dyDescent="0.35">
      <c r="A67">
        <v>65</v>
      </c>
      <c r="B67">
        <v>3.6</v>
      </c>
      <c r="C67">
        <f t="shared" ref="C67:C130" si="2">B67/1000</f>
        <v>3.5999999999999999E-3</v>
      </c>
      <c r="D67">
        <f t="shared" ref="D67:D130" si="3">LN(C67)</f>
        <v>-5.6268214335200728</v>
      </c>
    </row>
    <row r="68" spans="1:4" x14ac:dyDescent="0.35">
      <c r="A68">
        <v>66</v>
      </c>
      <c r="B68">
        <v>3.7</v>
      </c>
      <c r="C68">
        <f t="shared" si="2"/>
        <v>3.7000000000000002E-3</v>
      </c>
      <c r="D68">
        <f t="shared" si="3"/>
        <v>-5.5994224593319579</v>
      </c>
    </row>
    <row r="69" spans="1:4" x14ac:dyDescent="0.35">
      <c r="A69">
        <v>67</v>
      </c>
      <c r="B69">
        <v>3.6</v>
      </c>
      <c r="C69">
        <f t="shared" si="2"/>
        <v>3.5999999999999999E-3</v>
      </c>
      <c r="D69">
        <f t="shared" si="3"/>
        <v>-5.6268214335200728</v>
      </c>
    </row>
    <row r="70" spans="1:4" x14ac:dyDescent="0.35">
      <c r="A70">
        <v>68</v>
      </c>
      <c r="B70">
        <v>3.6</v>
      </c>
      <c r="C70">
        <f t="shared" si="2"/>
        <v>3.5999999999999999E-3</v>
      </c>
      <c r="D70">
        <f t="shared" si="3"/>
        <v>-5.6268214335200728</v>
      </c>
    </row>
    <row r="71" spans="1:4" x14ac:dyDescent="0.35">
      <c r="A71">
        <v>69</v>
      </c>
      <c r="B71">
        <v>3.6</v>
      </c>
      <c r="C71">
        <f t="shared" si="2"/>
        <v>3.5999999999999999E-3</v>
      </c>
      <c r="D71">
        <f t="shared" si="3"/>
        <v>-5.6268214335200728</v>
      </c>
    </row>
    <row r="72" spans="1:4" x14ac:dyDescent="0.35">
      <c r="A72">
        <v>70</v>
      </c>
      <c r="B72">
        <v>3.6</v>
      </c>
      <c r="C72">
        <f t="shared" si="2"/>
        <v>3.5999999999999999E-3</v>
      </c>
      <c r="D72">
        <f t="shared" si="3"/>
        <v>-5.6268214335200728</v>
      </c>
    </row>
    <row r="73" spans="1:4" x14ac:dyDescent="0.35">
      <c r="A73">
        <v>71</v>
      </c>
      <c r="B73">
        <v>3.6</v>
      </c>
      <c r="C73">
        <f t="shared" si="2"/>
        <v>3.5999999999999999E-3</v>
      </c>
      <c r="D73">
        <f t="shared" si="3"/>
        <v>-5.6268214335200728</v>
      </c>
    </row>
    <row r="74" spans="1:4" x14ac:dyDescent="0.35">
      <c r="A74">
        <v>72</v>
      </c>
      <c r="B74">
        <v>3.6</v>
      </c>
      <c r="C74">
        <f t="shared" si="2"/>
        <v>3.5999999999999999E-3</v>
      </c>
      <c r="D74">
        <f t="shared" si="3"/>
        <v>-5.6268214335200728</v>
      </c>
    </row>
    <row r="75" spans="1:4" x14ac:dyDescent="0.35">
      <c r="A75">
        <v>73</v>
      </c>
      <c r="B75">
        <v>3.6</v>
      </c>
      <c r="C75">
        <f t="shared" si="2"/>
        <v>3.5999999999999999E-3</v>
      </c>
      <c r="D75">
        <f t="shared" si="3"/>
        <v>-5.6268214335200728</v>
      </c>
    </row>
    <row r="76" spans="1:4" x14ac:dyDescent="0.35">
      <c r="A76">
        <v>74</v>
      </c>
      <c r="B76">
        <v>3.6</v>
      </c>
      <c r="C76">
        <f t="shared" si="2"/>
        <v>3.5999999999999999E-3</v>
      </c>
      <c r="D76">
        <f t="shared" si="3"/>
        <v>-5.6268214335200728</v>
      </c>
    </row>
    <row r="77" spans="1:4" x14ac:dyDescent="0.35">
      <c r="A77">
        <v>75</v>
      </c>
      <c r="B77">
        <v>3.6</v>
      </c>
      <c r="C77">
        <f t="shared" si="2"/>
        <v>3.5999999999999999E-3</v>
      </c>
      <c r="D77">
        <f t="shared" si="3"/>
        <v>-5.6268214335200728</v>
      </c>
    </row>
    <row r="78" spans="1:4" x14ac:dyDescent="0.35">
      <c r="A78">
        <v>76</v>
      </c>
      <c r="B78">
        <v>3.6</v>
      </c>
      <c r="C78">
        <f t="shared" si="2"/>
        <v>3.5999999999999999E-3</v>
      </c>
      <c r="D78">
        <f t="shared" si="3"/>
        <v>-5.6268214335200728</v>
      </c>
    </row>
    <row r="79" spans="1:4" x14ac:dyDescent="0.35">
      <c r="A79">
        <v>77</v>
      </c>
      <c r="B79">
        <v>3.6</v>
      </c>
      <c r="C79">
        <f t="shared" si="2"/>
        <v>3.5999999999999999E-3</v>
      </c>
      <c r="D79">
        <f t="shared" si="3"/>
        <v>-5.6268214335200728</v>
      </c>
    </row>
    <row r="80" spans="1:4" x14ac:dyDescent="0.35">
      <c r="A80">
        <v>78</v>
      </c>
      <c r="B80">
        <v>3.6</v>
      </c>
      <c r="C80">
        <f t="shared" si="2"/>
        <v>3.5999999999999999E-3</v>
      </c>
      <c r="D80">
        <f t="shared" si="3"/>
        <v>-5.6268214335200728</v>
      </c>
    </row>
    <row r="81" spans="1:4" x14ac:dyDescent="0.35">
      <c r="A81">
        <v>79</v>
      </c>
      <c r="B81">
        <v>3.6</v>
      </c>
      <c r="C81">
        <f t="shared" si="2"/>
        <v>3.5999999999999999E-3</v>
      </c>
      <c r="D81">
        <f t="shared" si="3"/>
        <v>-5.6268214335200728</v>
      </c>
    </row>
    <row r="82" spans="1:4" x14ac:dyDescent="0.35">
      <c r="A82">
        <v>80</v>
      </c>
      <c r="B82">
        <v>3.5</v>
      </c>
      <c r="C82">
        <f t="shared" si="2"/>
        <v>3.5000000000000001E-3</v>
      </c>
      <c r="D82">
        <f t="shared" si="3"/>
        <v>-5.6549923104867688</v>
      </c>
    </row>
    <row r="83" spans="1:4" x14ac:dyDescent="0.35">
      <c r="A83">
        <v>81</v>
      </c>
      <c r="B83">
        <v>3.5</v>
      </c>
      <c r="C83">
        <f t="shared" si="2"/>
        <v>3.5000000000000001E-3</v>
      </c>
      <c r="D83">
        <f t="shared" si="3"/>
        <v>-5.6549923104867688</v>
      </c>
    </row>
    <row r="84" spans="1:4" x14ac:dyDescent="0.35">
      <c r="A84">
        <v>82</v>
      </c>
      <c r="B84">
        <v>3.6</v>
      </c>
      <c r="C84">
        <f t="shared" si="2"/>
        <v>3.5999999999999999E-3</v>
      </c>
      <c r="D84">
        <f t="shared" si="3"/>
        <v>-5.6268214335200728</v>
      </c>
    </row>
    <row r="85" spans="1:4" x14ac:dyDescent="0.35">
      <c r="A85">
        <v>83</v>
      </c>
      <c r="B85">
        <v>3.6</v>
      </c>
      <c r="C85">
        <f t="shared" si="2"/>
        <v>3.5999999999999999E-3</v>
      </c>
      <c r="D85">
        <f t="shared" si="3"/>
        <v>-5.6268214335200728</v>
      </c>
    </row>
    <row r="86" spans="1:4" x14ac:dyDescent="0.35">
      <c r="A86">
        <v>84</v>
      </c>
      <c r="B86">
        <v>3.5</v>
      </c>
      <c r="C86">
        <f t="shared" si="2"/>
        <v>3.5000000000000001E-3</v>
      </c>
      <c r="D86">
        <f t="shared" si="3"/>
        <v>-5.6549923104867688</v>
      </c>
    </row>
    <row r="87" spans="1:4" x14ac:dyDescent="0.35">
      <c r="A87">
        <v>85</v>
      </c>
      <c r="B87">
        <v>3.5</v>
      </c>
      <c r="C87">
        <f t="shared" si="2"/>
        <v>3.5000000000000001E-3</v>
      </c>
      <c r="D87">
        <f t="shared" si="3"/>
        <v>-5.6549923104867688</v>
      </c>
    </row>
    <row r="88" spans="1:4" x14ac:dyDescent="0.35">
      <c r="A88">
        <v>86</v>
      </c>
      <c r="B88">
        <v>3.5</v>
      </c>
      <c r="C88">
        <f t="shared" si="2"/>
        <v>3.5000000000000001E-3</v>
      </c>
      <c r="D88">
        <f t="shared" si="3"/>
        <v>-5.6549923104867688</v>
      </c>
    </row>
    <row r="89" spans="1:4" x14ac:dyDescent="0.35">
      <c r="A89">
        <v>87</v>
      </c>
      <c r="B89">
        <v>3.6</v>
      </c>
      <c r="C89">
        <f t="shared" si="2"/>
        <v>3.5999999999999999E-3</v>
      </c>
      <c r="D89">
        <f t="shared" si="3"/>
        <v>-5.6268214335200728</v>
      </c>
    </row>
    <row r="90" spans="1:4" x14ac:dyDescent="0.35">
      <c r="A90">
        <v>88</v>
      </c>
      <c r="B90">
        <v>3.5</v>
      </c>
      <c r="C90">
        <f t="shared" si="2"/>
        <v>3.5000000000000001E-3</v>
      </c>
      <c r="D90">
        <f t="shared" si="3"/>
        <v>-5.6549923104867688</v>
      </c>
    </row>
    <row r="91" spans="1:4" x14ac:dyDescent="0.35">
      <c r="A91">
        <v>89</v>
      </c>
      <c r="B91">
        <v>3.5</v>
      </c>
      <c r="C91">
        <f t="shared" si="2"/>
        <v>3.5000000000000001E-3</v>
      </c>
      <c r="D91">
        <f t="shared" si="3"/>
        <v>-5.6549923104867688</v>
      </c>
    </row>
    <row r="92" spans="1:4" x14ac:dyDescent="0.35">
      <c r="A92">
        <v>90</v>
      </c>
      <c r="B92">
        <v>3.5</v>
      </c>
      <c r="C92">
        <f t="shared" si="2"/>
        <v>3.5000000000000001E-3</v>
      </c>
      <c r="D92">
        <f t="shared" si="3"/>
        <v>-5.6549923104867688</v>
      </c>
    </row>
    <row r="93" spans="1:4" x14ac:dyDescent="0.35">
      <c r="A93">
        <v>91</v>
      </c>
      <c r="B93">
        <v>3.5</v>
      </c>
      <c r="C93">
        <f t="shared" si="2"/>
        <v>3.5000000000000001E-3</v>
      </c>
      <c r="D93">
        <f t="shared" si="3"/>
        <v>-5.6549923104867688</v>
      </c>
    </row>
    <row r="94" spans="1:4" x14ac:dyDescent="0.35">
      <c r="A94">
        <v>92</v>
      </c>
      <c r="B94">
        <v>3.5</v>
      </c>
      <c r="C94">
        <f t="shared" si="2"/>
        <v>3.5000000000000001E-3</v>
      </c>
      <c r="D94">
        <f t="shared" si="3"/>
        <v>-5.6549923104867688</v>
      </c>
    </row>
    <row r="95" spans="1:4" x14ac:dyDescent="0.35">
      <c r="A95">
        <v>93</v>
      </c>
      <c r="B95">
        <v>3.5</v>
      </c>
      <c r="C95">
        <f t="shared" si="2"/>
        <v>3.5000000000000001E-3</v>
      </c>
      <c r="D95">
        <f t="shared" si="3"/>
        <v>-5.6549923104867688</v>
      </c>
    </row>
    <row r="96" spans="1:4" x14ac:dyDescent="0.35">
      <c r="A96">
        <v>94</v>
      </c>
      <c r="B96">
        <v>3.6</v>
      </c>
      <c r="C96">
        <f t="shared" si="2"/>
        <v>3.5999999999999999E-3</v>
      </c>
      <c r="D96">
        <f t="shared" si="3"/>
        <v>-5.6268214335200728</v>
      </c>
    </row>
    <row r="97" spans="1:4" x14ac:dyDescent="0.35">
      <c r="A97">
        <v>95</v>
      </c>
      <c r="B97">
        <v>3.6</v>
      </c>
      <c r="C97">
        <f t="shared" si="2"/>
        <v>3.5999999999999999E-3</v>
      </c>
      <c r="D97">
        <f t="shared" si="3"/>
        <v>-5.6268214335200728</v>
      </c>
    </row>
    <row r="98" spans="1:4" x14ac:dyDescent="0.35">
      <c r="A98">
        <v>96</v>
      </c>
      <c r="B98">
        <v>3.6</v>
      </c>
      <c r="C98">
        <f t="shared" si="2"/>
        <v>3.5999999999999999E-3</v>
      </c>
      <c r="D98">
        <f t="shared" si="3"/>
        <v>-5.6268214335200728</v>
      </c>
    </row>
    <row r="99" spans="1:4" x14ac:dyDescent="0.35">
      <c r="A99">
        <v>97</v>
      </c>
      <c r="B99">
        <v>3.5</v>
      </c>
      <c r="C99">
        <f t="shared" si="2"/>
        <v>3.5000000000000001E-3</v>
      </c>
      <c r="D99">
        <f t="shared" si="3"/>
        <v>-5.6549923104867688</v>
      </c>
    </row>
    <row r="100" spans="1:4" x14ac:dyDescent="0.35">
      <c r="A100">
        <v>98</v>
      </c>
      <c r="B100">
        <v>3.6</v>
      </c>
      <c r="C100">
        <f t="shared" si="2"/>
        <v>3.5999999999999999E-3</v>
      </c>
      <c r="D100">
        <f t="shared" si="3"/>
        <v>-5.6268214335200728</v>
      </c>
    </row>
    <row r="101" spans="1:4" x14ac:dyDescent="0.35">
      <c r="A101">
        <v>99</v>
      </c>
      <c r="B101">
        <v>3.6</v>
      </c>
      <c r="C101">
        <f t="shared" si="2"/>
        <v>3.5999999999999999E-3</v>
      </c>
      <c r="D101">
        <f t="shared" si="3"/>
        <v>-5.6268214335200728</v>
      </c>
    </row>
    <row r="102" spans="1:4" x14ac:dyDescent="0.35">
      <c r="A102">
        <v>100</v>
      </c>
      <c r="B102">
        <v>3.5</v>
      </c>
      <c r="C102">
        <f t="shared" si="2"/>
        <v>3.5000000000000001E-3</v>
      </c>
      <c r="D102">
        <f t="shared" si="3"/>
        <v>-5.6549923104867688</v>
      </c>
    </row>
    <row r="103" spans="1:4" x14ac:dyDescent="0.35">
      <c r="A103">
        <v>101</v>
      </c>
      <c r="B103">
        <v>3.5</v>
      </c>
      <c r="C103">
        <f t="shared" si="2"/>
        <v>3.5000000000000001E-3</v>
      </c>
      <c r="D103">
        <f t="shared" si="3"/>
        <v>-5.6549923104867688</v>
      </c>
    </row>
    <row r="104" spans="1:4" x14ac:dyDescent="0.35">
      <c r="A104">
        <v>102</v>
      </c>
      <c r="B104">
        <v>3.6</v>
      </c>
      <c r="C104">
        <f t="shared" si="2"/>
        <v>3.5999999999999999E-3</v>
      </c>
      <c r="D104">
        <f t="shared" si="3"/>
        <v>-5.6268214335200728</v>
      </c>
    </row>
    <row r="105" spans="1:4" x14ac:dyDescent="0.35">
      <c r="A105">
        <v>103</v>
      </c>
      <c r="B105">
        <v>3.6</v>
      </c>
      <c r="C105">
        <f t="shared" si="2"/>
        <v>3.5999999999999999E-3</v>
      </c>
      <c r="D105">
        <f t="shared" si="3"/>
        <v>-5.6268214335200728</v>
      </c>
    </row>
    <row r="106" spans="1:4" x14ac:dyDescent="0.35">
      <c r="A106">
        <v>104</v>
      </c>
      <c r="B106">
        <v>3.5</v>
      </c>
      <c r="C106">
        <f t="shared" si="2"/>
        <v>3.5000000000000001E-3</v>
      </c>
      <c r="D106">
        <f t="shared" si="3"/>
        <v>-5.6549923104867688</v>
      </c>
    </row>
    <row r="107" spans="1:4" x14ac:dyDescent="0.35">
      <c r="A107">
        <v>105</v>
      </c>
      <c r="B107">
        <v>3.5</v>
      </c>
      <c r="C107">
        <f t="shared" si="2"/>
        <v>3.5000000000000001E-3</v>
      </c>
      <c r="D107">
        <f t="shared" si="3"/>
        <v>-5.6549923104867688</v>
      </c>
    </row>
    <row r="108" spans="1:4" x14ac:dyDescent="0.35">
      <c r="A108">
        <v>106</v>
      </c>
      <c r="B108">
        <v>3.4</v>
      </c>
      <c r="C108">
        <f t="shared" si="2"/>
        <v>3.3999999999999998E-3</v>
      </c>
      <c r="D108">
        <f t="shared" si="3"/>
        <v>-5.6839798473600212</v>
      </c>
    </row>
    <row r="109" spans="1:4" x14ac:dyDescent="0.35">
      <c r="A109">
        <v>107</v>
      </c>
      <c r="B109">
        <v>3.5</v>
      </c>
      <c r="C109">
        <f t="shared" si="2"/>
        <v>3.5000000000000001E-3</v>
      </c>
      <c r="D109">
        <f t="shared" si="3"/>
        <v>-5.6549923104867688</v>
      </c>
    </row>
    <row r="110" spans="1:4" x14ac:dyDescent="0.35">
      <c r="A110">
        <v>108</v>
      </c>
      <c r="B110">
        <v>3.5</v>
      </c>
      <c r="C110">
        <f t="shared" si="2"/>
        <v>3.5000000000000001E-3</v>
      </c>
      <c r="D110">
        <f t="shared" si="3"/>
        <v>-5.6549923104867688</v>
      </c>
    </row>
    <row r="111" spans="1:4" x14ac:dyDescent="0.35">
      <c r="A111">
        <v>109</v>
      </c>
      <c r="B111">
        <v>3.5</v>
      </c>
      <c r="C111">
        <f t="shared" si="2"/>
        <v>3.5000000000000001E-3</v>
      </c>
      <c r="D111">
        <f t="shared" si="3"/>
        <v>-5.6549923104867688</v>
      </c>
    </row>
    <row r="112" spans="1:4" x14ac:dyDescent="0.35">
      <c r="A112">
        <v>110</v>
      </c>
      <c r="B112">
        <v>3.4</v>
      </c>
      <c r="C112">
        <f t="shared" si="2"/>
        <v>3.3999999999999998E-3</v>
      </c>
      <c r="D112">
        <f t="shared" si="3"/>
        <v>-5.6839798473600212</v>
      </c>
    </row>
    <row r="113" spans="1:4" x14ac:dyDescent="0.35">
      <c r="A113">
        <v>111</v>
      </c>
      <c r="B113">
        <v>3.4</v>
      </c>
      <c r="C113">
        <f t="shared" si="2"/>
        <v>3.3999999999999998E-3</v>
      </c>
      <c r="D113">
        <f t="shared" si="3"/>
        <v>-5.6839798473600212</v>
      </c>
    </row>
    <row r="114" spans="1:4" x14ac:dyDescent="0.35">
      <c r="A114">
        <v>112</v>
      </c>
      <c r="B114">
        <v>3.4</v>
      </c>
      <c r="C114">
        <f t="shared" si="2"/>
        <v>3.3999999999999998E-3</v>
      </c>
      <c r="D114">
        <f t="shared" si="3"/>
        <v>-5.6839798473600212</v>
      </c>
    </row>
    <row r="115" spans="1:4" x14ac:dyDescent="0.35">
      <c r="A115">
        <v>113</v>
      </c>
      <c r="B115">
        <v>3.5</v>
      </c>
      <c r="C115">
        <f t="shared" si="2"/>
        <v>3.5000000000000001E-3</v>
      </c>
      <c r="D115">
        <f t="shared" si="3"/>
        <v>-5.6549923104867688</v>
      </c>
    </row>
    <row r="116" spans="1:4" x14ac:dyDescent="0.35">
      <c r="A116">
        <v>114</v>
      </c>
      <c r="B116">
        <v>3.4</v>
      </c>
      <c r="C116">
        <f t="shared" si="2"/>
        <v>3.3999999999999998E-3</v>
      </c>
      <c r="D116">
        <f t="shared" si="3"/>
        <v>-5.6839798473600212</v>
      </c>
    </row>
    <row r="117" spans="1:4" x14ac:dyDescent="0.35">
      <c r="A117">
        <v>115</v>
      </c>
      <c r="B117">
        <v>3.5</v>
      </c>
      <c r="C117">
        <f t="shared" si="2"/>
        <v>3.5000000000000001E-3</v>
      </c>
      <c r="D117">
        <f t="shared" si="3"/>
        <v>-5.6549923104867688</v>
      </c>
    </row>
    <row r="118" spans="1:4" x14ac:dyDescent="0.35">
      <c r="A118">
        <v>116</v>
      </c>
      <c r="B118">
        <v>3.4</v>
      </c>
      <c r="C118">
        <f t="shared" si="2"/>
        <v>3.3999999999999998E-3</v>
      </c>
      <c r="D118">
        <f t="shared" si="3"/>
        <v>-5.6839798473600212</v>
      </c>
    </row>
    <row r="119" spans="1:4" x14ac:dyDescent="0.35">
      <c r="A119">
        <v>117</v>
      </c>
      <c r="B119">
        <v>3.4</v>
      </c>
      <c r="C119">
        <f t="shared" si="2"/>
        <v>3.3999999999999998E-3</v>
      </c>
      <c r="D119">
        <f t="shared" si="3"/>
        <v>-5.6839798473600212</v>
      </c>
    </row>
    <row r="120" spans="1:4" x14ac:dyDescent="0.35">
      <c r="A120">
        <v>118</v>
      </c>
      <c r="B120">
        <v>3.5</v>
      </c>
      <c r="C120">
        <f t="shared" si="2"/>
        <v>3.5000000000000001E-3</v>
      </c>
      <c r="D120">
        <f t="shared" si="3"/>
        <v>-5.6549923104867688</v>
      </c>
    </row>
    <row r="121" spans="1:4" x14ac:dyDescent="0.35">
      <c r="A121">
        <v>119</v>
      </c>
      <c r="B121">
        <v>3.3</v>
      </c>
      <c r="C121">
        <f t="shared" si="2"/>
        <v>3.3E-3</v>
      </c>
      <c r="D121">
        <f t="shared" si="3"/>
        <v>-5.7138328105097029</v>
      </c>
    </row>
    <row r="122" spans="1:4" x14ac:dyDescent="0.35">
      <c r="A122">
        <v>120</v>
      </c>
      <c r="B122">
        <v>3.4</v>
      </c>
      <c r="C122">
        <f t="shared" si="2"/>
        <v>3.3999999999999998E-3</v>
      </c>
      <c r="D122">
        <f t="shared" si="3"/>
        <v>-5.6839798473600212</v>
      </c>
    </row>
    <row r="123" spans="1:4" x14ac:dyDescent="0.35">
      <c r="A123">
        <v>121</v>
      </c>
      <c r="B123">
        <v>3.3</v>
      </c>
      <c r="C123">
        <f t="shared" si="2"/>
        <v>3.3E-3</v>
      </c>
      <c r="D123">
        <f t="shared" si="3"/>
        <v>-5.7138328105097029</v>
      </c>
    </row>
    <row r="124" spans="1:4" x14ac:dyDescent="0.35">
      <c r="A124">
        <v>122</v>
      </c>
      <c r="B124">
        <v>3.4</v>
      </c>
      <c r="C124">
        <f t="shared" si="2"/>
        <v>3.3999999999999998E-3</v>
      </c>
      <c r="D124">
        <f t="shared" si="3"/>
        <v>-5.6839798473600212</v>
      </c>
    </row>
    <row r="125" spans="1:4" x14ac:dyDescent="0.35">
      <c r="A125">
        <v>123</v>
      </c>
      <c r="B125">
        <v>3.4</v>
      </c>
      <c r="C125">
        <f t="shared" si="2"/>
        <v>3.3999999999999998E-3</v>
      </c>
      <c r="D125">
        <f t="shared" si="3"/>
        <v>-5.6839798473600212</v>
      </c>
    </row>
    <row r="126" spans="1:4" x14ac:dyDescent="0.35">
      <c r="A126">
        <v>124</v>
      </c>
      <c r="B126">
        <v>3.4</v>
      </c>
      <c r="C126">
        <f t="shared" si="2"/>
        <v>3.3999999999999998E-3</v>
      </c>
      <c r="D126">
        <f t="shared" si="3"/>
        <v>-5.6839798473600212</v>
      </c>
    </row>
    <row r="127" spans="1:4" x14ac:dyDescent="0.35">
      <c r="A127">
        <v>125</v>
      </c>
      <c r="B127">
        <v>3.3</v>
      </c>
      <c r="C127">
        <f t="shared" si="2"/>
        <v>3.3E-3</v>
      </c>
      <c r="D127">
        <f t="shared" si="3"/>
        <v>-5.7138328105097029</v>
      </c>
    </row>
    <row r="128" spans="1:4" x14ac:dyDescent="0.35">
      <c r="A128">
        <v>126</v>
      </c>
      <c r="B128">
        <v>3.4</v>
      </c>
      <c r="C128">
        <f t="shared" si="2"/>
        <v>3.3999999999999998E-3</v>
      </c>
      <c r="D128">
        <f t="shared" si="3"/>
        <v>-5.6839798473600212</v>
      </c>
    </row>
    <row r="129" spans="1:4" x14ac:dyDescent="0.35">
      <c r="A129">
        <v>127</v>
      </c>
      <c r="B129">
        <v>3.4</v>
      </c>
      <c r="C129">
        <f t="shared" si="2"/>
        <v>3.3999999999999998E-3</v>
      </c>
      <c r="D129">
        <f t="shared" si="3"/>
        <v>-5.6839798473600212</v>
      </c>
    </row>
    <row r="130" spans="1:4" x14ac:dyDescent="0.35">
      <c r="A130">
        <v>128</v>
      </c>
      <c r="B130">
        <v>3.4</v>
      </c>
      <c r="C130">
        <f t="shared" si="2"/>
        <v>3.3999999999999998E-3</v>
      </c>
      <c r="D130">
        <f t="shared" si="3"/>
        <v>-5.6839798473600212</v>
      </c>
    </row>
    <row r="131" spans="1:4" x14ac:dyDescent="0.35">
      <c r="A131">
        <v>129</v>
      </c>
      <c r="B131">
        <v>3.4</v>
      </c>
      <c r="C131">
        <f t="shared" ref="C131:C194" si="4">B131/1000</f>
        <v>3.3999999999999998E-3</v>
      </c>
      <c r="D131">
        <f t="shared" ref="D131:D194" si="5">LN(C131)</f>
        <v>-5.6839798473600212</v>
      </c>
    </row>
    <row r="132" spans="1:4" x14ac:dyDescent="0.35">
      <c r="A132">
        <v>130</v>
      </c>
      <c r="B132">
        <v>3.4</v>
      </c>
      <c r="C132">
        <f t="shared" si="4"/>
        <v>3.3999999999999998E-3</v>
      </c>
      <c r="D132">
        <f t="shared" si="5"/>
        <v>-5.6839798473600212</v>
      </c>
    </row>
    <row r="133" spans="1:4" x14ac:dyDescent="0.35">
      <c r="A133">
        <v>131</v>
      </c>
      <c r="B133">
        <v>3.4</v>
      </c>
      <c r="C133">
        <f t="shared" si="4"/>
        <v>3.3999999999999998E-3</v>
      </c>
      <c r="D133">
        <f t="shared" si="5"/>
        <v>-5.6839798473600212</v>
      </c>
    </row>
    <row r="134" spans="1:4" x14ac:dyDescent="0.35">
      <c r="A134">
        <v>132</v>
      </c>
      <c r="B134">
        <v>3.4</v>
      </c>
      <c r="C134">
        <f t="shared" si="4"/>
        <v>3.3999999999999998E-3</v>
      </c>
      <c r="D134">
        <f t="shared" si="5"/>
        <v>-5.6839798473600212</v>
      </c>
    </row>
    <row r="135" spans="1:4" x14ac:dyDescent="0.35">
      <c r="A135">
        <v>133</v>
      </c>
      <c r="B135">
        <v>3.5</v>
      </c>
      <c r="C135">
        <f t="shared" si="4"/>
        <v>3.5000000000000001E-3</v>
      </c>
      <c r="D135">
        <f t="shared" si="5"/>
        <v>-5.6549923104867688</v>
      </c>
    </row>
    <row r="136" spans="1:4" x14ac:dyDescent="0.35">
      <c r="A136">
        <v>134</v>
      </c>
      <c r="B136">
        <v>3.4</v>
      </c>
      <c r="C136">
        <f t="shared" si="4"/>
        <v>3.3999999999999998E-3</v>
      </c>
      <c r="D136">
        <f t="shared" si="5"/>
        <v>-5.6839798473600212</v>
      </c>
    </row>
    <row r="137" spans="1:4" x14ac:dyDescent="0.35">
      <c r="A137">
        <v>135</v>
      </c>
      <c r="B137">
        <v>3.4</v>
      </c>
      <c r="C137">
        <f t="shared" si="4"/>
        <v>3.3999999999999998E-3</v>
      </c>
      <c r="D137">
        <f t="shared" si="5"/>
        <v>-5.6839798473600212</v>
      </c>
    </row>
    <row r="138" spans="1:4" x14ac:dyDescent="0.35">
      <c r="A138">
        <v>136</v>
      </c>
      <c r="B138">
        <v>3.5</v>
      </c>
      <c r="C138">
        <f t="shared" si="4"/>
        <v>3.5000000000000001E-3</v>
      </c>
      <c r="D138">
        <f t="shared" si="5"/>
        <v>-5.6549923104867688</v>
      </c>
    </row>
    <row r="139" spans="1:4" x14ac:dyDescent="0.35">
      <c r="A139">
        <v>137</v>
      </c>
      <c r="B139">
        <v>3.4</v>
      </c>
      <c r="C139">
        <f t="shared" si="4"/>
        <v>3.3999999999999998E-3</v>
      </c>
      <c r="D139">
        <f t="shared" si="5"/>
        <v>-5.6839798473600212</v>
      </c>
    </row>
    <row r="140" spans="1:4" x14ac:dyDescent="0.35">
      <c r="A140">
        <v>138</v>
      </c>
      <c r="B140">
        <v>3.4</v>
      </c>
      <c r="C140">
        <f t="shared" si="4"/>
        <v>3.3999999999999998E-3</v>
      </c>
      <c r="D140">
        <f t="shared" si="5"/>
        <v>-5.6839798473600212</v>
      </c>
    </row>
    <row r="141" spans="1:4" x14ac:dyDescent="0.35">
      <c r="A141">
        <v>139</v>
      </c>
      <c r="B141">
        <v>3.3</v>
      </c>
      <c r="C141">
        <f t="shared" si="4"/>
        <v>3.3E-3</v>
      </c>
      <c r="D141">
        <f t="shared" si="5"/>
        <v>-5.7138328105097029</v>
      </c>
    </row>
    <row r="142" spans="1:4" x14ac:dyDescent="0.35">
      <c r="A142">
        <v>140</v>
      </c>
      <c r="B142">
        <v>3.3</v>
      </c>
      <c r="C142">
        <f t="shared" si="4"/>
        <v>3.3E-3</v>
      </c>
      <c r="D142">
        <f t="shared" si="5"/>
        <v>-5.7138328105097029</v>
      </c>
    </row>
    <row r="143" spans="1:4" x14ac:dyDescent="0.35">
      <c r="A143">
        <v>141</v>
      </c>
      <c r="B143">
        <v>3.4</v>
      </c>
      <c r="C143">
        <f t="shared" si="4"/>
        <v>3.3999999999999998E-3</v>
      </c>
      <c r="D143">
        <f t="shared" si="5"/>
        <v>-5.6839798473600212</v>
      </c>
    </row>
    <row r="144" spans="1:4" x14ac:dyDescent="0.35">
      <c r="A144">
        <v>142</v>
      </c>
      <c r="B144">
        <v>3.4</v>
      </c>
      <c r="C144">
        <f t="shared" si="4"/>
        <v>3.3999999999999998E-3</v>
      </c>
      <c r="D144">
        <f t="shared" si="5"/>
        <v>-5.6839798473600212</v>
      </c>
    </row>
    <row r="145" spans="1:4" x14ac:dyDescent="0.35">
      <c r="A145">
        <v>143</v>
      </c>
      <c r="B145">
        <v>3.4</v>
      </c>
      <c r="C145">
        <f t="shared" si="4"/>
        <v>3.3999999999999998E-3</v>
      </c>
      <c r="D145">
        <f t="shared" si="5"/>
        <v>-5.6839798473600212</v>
      </c>
    </row>
    <row r="146" spans="1:4" x14ac:dyDescent="0.35">
      <c r="A146">
        <v>144</v>
      </c>
      <c r="B146">
        <v>3.4</v>
      </c>
      <c r="C146">
        <f t="shared" si="4"/>
        <v>3.3999999999999998E-3</v>
      </c>
      <c r="D146">
        <f t="shared" si="5"/>
        <v>-5.6839798473600212</v>
      </c>
    </row>
    <row r="147" spans="1:4" x14ac:dyDescent="0.35">
      <c r="A147">
        <v>145</v>
      </c>
      <c r="B147">
        <v>3.4</v>
      </c>
      <c r="C147">
        <f t="shared" si="4"/>
        <v>3.3999999999999998E-3</v>
      </c>
      <c r="D147">
        <f t="shared" si="5"/>
        <v>-5.6839798473600212</v>
      </c>
    </row>
    <row r="148" spans="1:4" x14ac:dyDescent="0.35">
      <c r="A148">
        <v>146</v>
      </c>
      <c r="B148">
        <v>3.4</v>
      </c>
      <c r="C148">
        <f t="shared" si="4"/>
        <v>3.3999999999999998E-3</v>
      </c>
      <c r="D148">
        <f t="shared" si="5"/>
        <v>-5.6839798473600212</v>
      </c>
    </row>
    <row r="149" spans="1:4" x14ac:dyDescent="0.35">
      <c r="A149">
        <v>147</v>
      </c>
      <c r="B149">
        <v>3.4</v>
      </c>
      <c r="C149">
        <f t="shared" si="4"/>
        <v>3.3999999999999998E-3</v>
      </c>
      <c r="D149">
        <f t="shared" si="5"/>
        <v>-5.6839798473600212</v>
      </c>
    </row>
    <row r="150" spans="1:4" x14ac:dyDescent="0.35">
      <c r="A150">
        <v>148</v>
      </c>
      <c r="B150">
        <v>3.4</v>
      </c>
      <c r="C150">
        <f t="shared" si="4"/>
        <v>3.3999999999999998E-3</v>
      </c>
      <c r="D150">
        <f t="shared" si="5"/>
        <v>-5.6839798473600212</v>
      </c>
    </row>
    <row r="151" spans="1:4" x14ac:dyDescent="0.35">
      <c r="A151">
        <v>149</v>
      </c>
      <c r="B151">
        <v>3.4</v>
      </c>
      <c r="C151">
        <f t="shared" si="4"/>
        <v>3.3999999999999998E-3</v>
      </c>
      <c r="D151">
        <f t="shared" si="5"/>
        <v>-5.6839798473600212</v>
      </c>
    </row>
    <row r="152" spans="1:4" x14ac:dyDescent="0.35">
      <c r="A152">
        <v>150</v>
      </c>
      <c r="B152">
        <v>3.4</v>
      </c>
      <c r="C152">
        <f t="shared" si="4"/>
        <v>3.3999999999999998E-3</v>
      </c>
      <c r="D152">
        <f t="shared" si="5"/>
        <v>-5.6839798473600212</v>
      </c>
    </row>
    <row r="153" spans="1:4" x14ac:dyDescent="0.35">
      <c r="A153">
        <v>151</v>
      </c>
      <c r="B153">
        <v>3.3</v>
      </c>
      <c r="C153">
        <f t="shared" si="4"/>
        <v>3.3E-3</v>
      </c>
      <c r="D153">
        <f t="shared" si="5"/>
        <v>-5.7138328105097029</v>
      </c>
    </row>
    <row r="154" spans="1:4" x14ac:dyDescent="0.35">
      <c r="A154">
        <v>152</v>
      </c>
      <c r="B154">
        <v>3.3</v>
      </c>
      <c r="C154">
        <f t="shared" si="4"/>
        <v>3.3E-3</v>
      </c>
      <c r="D154">
        <f t="shared" si="5"/>
        <v>-5.7138328105097029</v>
      </c>
    </row>
    <row r="155" spans="1:4" x14ac:dyDescent="0.35">
      <c r="A155">
        <v>153</v>
      </c>
      <c r="B155">
        <v>3.3</v>
      </c>
      <c r="C155">
        <f t="shared" si="4"/>
        <v>3.3E-3</v>
      </c>
      <c r="D155">
        <f t="shared" si="5"/>
        <v>-5.7138328105097029</v>
      </c>
    </row>
    <row r="156" spans="1:4" x14ac:dyDescent="0.35">
      <c r="A156">
        <v>154</v>
      </c>
      <c r="B156">
        <v>3.3</v>
      </c>
      <c r="C156">
        <f t="shared" si="4"/>
        <v>3.3E-3</v>
      </c>
      <c r="D156">
        <f t="shared" si="5"/>
        <v>-5.7138328105097029</v>
      </c>
    </row>
    <row r="157" spans="1:4" x14ac:dyDescent="0.35">
      <c r="A157">
        <v>155</v>
      </c>
      <c r="B157">
        <v>3.3</v>
      </c>
      <c r="C157">
        <f t="shared" si="4"/>
        <v>3.3E-3</v>
      </c>
      <c r="D157">
        <f t="shared" si="5"/>
        <v>-5.7138328105097029</v>
      </c>
    </row>
    <row r="158" spans="1:4" x14ac:dyDescent="0.35">
      <c r="A158">
        <v>156</v>
      </c>
      <c r="B158">
        <v>3.3</v>
      </c>
      <c r="C158">
        <f t="shared" si="4"/>
        <v>3.3E-3</v>
      </c>
      <c r="D158">
        <f t="shared" si="5"/>
        <v>-5.7138328105097029</v>
      </c>
    </row>
    <row r="159" spans="1:4" x14ac:dyDescent="0.35">
      <c r="A159">
        <v>157</v>
      </c>
      <c r="B159">
        <v>3.3</v>
      </c>
      <c r="C159">
        <f t="shared" si="4"/>
        <v>3.3E-3</v>
      </c>
      <c r="D159">
        <f t="shared" si="5"/>
        <v>-5.7138328105097029</v>
      </c>
    </row>
    <row r="160" spans="1:4" x14ac:dyDescent="0.35">
      <c r="A160">
        <v>158</v>
      </c>
      <c r="B160">
        <v>3.3</v>
      </c>
      <c r="C160">
        <f t="shared" si="4"/>
        <v>3.3E-3</v>
      </c>
      <c r="D160">
        <f t="shared" si="5"/>
        <v>-5.7138328105097029</v>
      </c>
    </row>
    <row r="161" spans="1:4" x14ac:dyDescent="0.35">
      <c r="A161">
        <v>159</v>
      </c>
      <c r="B161">
        <v>3.4</v>
      </c>
      <c r="C161">
        <f t="shared" si="4"/>
        <v>3.3999999999999998E-3</v>
      </c>
      <c r="D161">
        <f t="shared" si="5"/>
        <v>-5.6839798473600212</v>
      </c>
    </row>
    <row r="162" spans="1:4" x14ac:dyDescent="0.35">
      <c r="A162">
        <v>160</v>
      </c>
      <c r="B162">
        <v>3.4</v>
      </c>
      <c r="C162">
        <f t="shared" si="4"/>
        <v>3.3999999999999998E-3</v>
      </c>
      <c r="D162">
        <f t="shared" si="5"/>
        <v>-5.6839798473600212</v>
      </c>
    </row>
    <row r="163" spans="1:4" x14ac:dyDescent="0.35">
      <c r="A163">
        <v>161</v>
      </c>
      <c r="B163">
        <v>3.4</v>
      </c>
      <c r="C163">
        <f t="shared" si="4"/>
        <v>3.3999999999999998E-3</v>
      </c>
      <c r="D163">
        <f t="shared" si="5"/>
        <v>-5.6839798473600212</v>
      </c>
    </row>
    <row r="164" spans="1:4" x14ac:dyDescent="0.35">
      <c r="A164">
        <v>162</v>
      </c>
      <c r="B164">
        <v>3.3</v>
      </c>
      <c r="C164">
        <f t="shared" si="4"/>
        <v>3.3E-3</v>
      </c>
      <c r="D164">
        <f t="shared" si="5"/>
        <v>-5.7138328105097029</v>
      </c>
    </row>
    <row r="165" spans="1:4" x14ac:dyDescent="0.35">
      <c r="A165">
        <v>163</v>
      </c>
      <c r="B165">
        <v>3.3</v>
      </c>
      <c r="C165">
        <f t="shared" si="4"/>
        <v>3.3E-3</v>
      </c>
      <c r="D165">
        <f t="shared" si="5"/>
        <v>-5.7138328105097029</v>
      </c>
    </row>
    <row r="166" spans="1:4" x14ac:dyDescent="0.35">
      <c r="A166">
        <v>164</v>
      </c>
      <c r="B166">
        <v>3.4</v>
      </c>
      <c r="C166">
        <f t="shared" si="4"/>
        <v>3.3999999999999998E-3</v>
      </c>
      <c r="D166">
        <f t="shared" si="5"/>
        <v>-5.6839798473600212</v>
      </c>
    </row>
    <row r="167" spans="1:4" x14ac:dyDescent="0.35">
      <c r="A167">
        <v>165</v>
      </c>
      <c r="B167">
        <v>3.4</v>
      </c>
      <c r="C167">
        <f t="shared" si="4"/>
        <v>3.3999999999999998E-3</v>
      </c>
      <c r="D167">
        <f t="shared" si="5"/>
        <v>-5.6839798473600212</v>
      </c>
    </row>
    <row r="168" spans="1:4" x14ac:dyDescent="0.35">
      <c r="A168">
        <v>166</v>
      </c>
      <c r="B168">
        <v>3.4</v>
      </c>
      <c r="C168">
        <f t="shared" si="4"/>
        <v>3.3999999999999998E-3</v>
      </c>
      <c r="D168">
        <f t="shared" si="5"/>
        <v>-5.6839798473600212</v>
      </c>
    </row>
    <row r="169" spans="1:4" x14ac:dyDescent="0.35">
      <c r="A169">
        <v>167</v>
      </c>
      <c r="B169">
        <v>3.3</v>
      </c>
      <c r="C169">
        <f t="shared" si="4"/>
        <v>3.3E-3</v>
      </c>
      <c r="D169">
        <f t="shared" si="5"/>
        <v>-5.7138328105097029</v>
      </c>
    </row>
    <row r="170" spans="1:4" x14ac:dyDescent="0.35">
      <c r="A170">
        <v>168</v>
      </c>
      <c r="B170">
        <v>3.4</v>
      </c>
      <c r="C170">
        <f t="shared" si="4"/>
        <v>3.3999999999999998E-3</v>
      </c>
      <c r="D170">
        <f t="shared" si="5"/>
        <v>-5.6839798473600212</v>
      </c>
    </row>
    <row r="171" spans="1:4" x14ac:dyDescent="0.35">
      <c r="A171">
        <v>169</v>
      </c>
      <c r="B171">
        <v>3.3</v>
      </c>
      <c r="C171">
        <f t="shared" si="4"/>
        <v>3.3E-3</v>
      </c>
      <c r="D171">
        <f t="shared" si="5"/>
        <v>-5.7138328105097029</v>
      </c>
    </row>
    <row r="172" spans="1:4" x14ac:dyDescent="0.35">
      <c r="A172">
        <v>170</v>
      </c>
      <c r="B172">
        <v>3.4</v>
      </c>
      <c r="C172">
        <f t="shared" si="4"/>
        <v>3.3999999999999998E-3</v>
      </c>
      <c r="D172">
        <f t="shared" si="5"/>
        <v>-5.6839798473600212</v>
      </c>
    </row>
    <row r="173" spans="1:4" x14ac:dyDescent="0.35">
      <c r="A173">
        <v>171</v>
      </c>
      <c r="B173">
        <v>3.3</v>
      </c>
      <c r="C173">
        <f t="shared" si="4"/>
        <v>3.3E-3</v>
      </c>
      <c r="D173">
        <f t="shared" si="5"/>
        <v>-5.7138328105097029</v>
      </c>
    </row>
    <row r="174" spans="1:4" x14ac:dyDescent="0.35">
      <c r="A174">
        <v>172</v>
      </c>
      <c r="B174">
        <v>3.3</v>
      </c>
      <c r="C174">
        <f t="shared" si="4"/>
        <v>3.3E-3</v>
      </c>
      <c r="D174">
        <f t="shared" si="5"/>
        <v>-5.7138328105097029</v>
      </c>
    </row>
    <row r="175" spans="1:4" x14ac:dyDescent="0.35">
      <c r="A175">
        <v>173</v>
      </c>
      <c r="B175">
        <v>3.3</v>
      </c>
      <c r="C175">
        <f t="shared" si="4"/>
        <v>3.3E-3</v>
      </c>
      <c r="D175">
        <f t="shared" si="5"/>
        <v>-5.7138328105097029</v>
      </c>
    </row>
    <row r="176" spans="1:4" x14ac:dyDescent="0.35">
      <c r="A176">
        <v>174</v>
      </c>
      <c r="B176">
        <v>3.3</v>
      </c>
      <c r="C176">
        <f t="shared" si="4"/>
        <v>3.3E-3</v>
      </c>
      <c r="D176">
        <f t="shared" si="5"/>
        <v>-5.7138328105097029</v>
      </c>
    </row>
    <row r="177" spans="1:4" x14ac:dyDescent="0.35">
      <c r="A177">
        <v>175</v>
      </c>
      <c r="B177">
        <v>3.2</v>
      </c>
      <c r="C177">
        <f t="shared" si="4"/>
        <v>3.2000000000000002E-3</v>
      </c>
      <c r="D177">
        <f t="shared" si="5"/>
        <v>-5.7446044691764557</v>
      </c>
    </row>
    <row r="178" spans="1:4" x14ac:dyDescent="0.35">
      <c r="A178">
        <v>176</v>
      </c>
      <c r="B178">
        <v>3.3</v>
      </c>
      <c r="C178">
        <f t="shared" si="4"/>
        <v>3.3E-3</v>
      </c>
      <c r="D178">
        <f t="shared" si="5"/>
        <v>-5.7138328105097029</v>
      </c>
    </row>
    <row r="179" spans="1:4" x14ac:dyDescent="0.35">
      <c r="A179">
        <v>177</v>
      </c>
      <c r="B179">
        <v>3.3</v>
      </c>
      <c r="C179">
        <f t="shared" si="4"/>
        <v>3.3E-3</v>
      </c>
      <c r="D179">
        <f t="shared" si="5"/>
        <v>-5.7138328105097029</v>
      </c>
    </row>
    <row r="180" spans="1:4" x14ac:dyDescent="0.35">
      <c r="A180">
        <v>178</v>
      </c>
      <c r="B180">
        <v>3.4</v>
      </c>
      <c r="C180">
        <f t="shared" si="4"/>
        <v>3.3999999999999998E-3</v>
      </c>
      <c r="D180">
        <f t="shared" si="5"/>
        <v>-5.6839798473600212</v>
      </c>
    </row>
    <row r="181" spans="1:4" x14ac:dyDescent="0.35">
      <c r="A181">
        <v>179</v>
      </c>
      <c r="B181">
        <v>3.3</v>
      </c>
      <c r="C181">
        <f t="shared" si="4"/>
        <v>3.3E-3</v>
      </c>
      <c r="D181">
        <f t="shared" si="5"/>
        <v>-5.7138328105097029</v>
      </c>
    </row>
    <row r="182" spans="1:4" x14ac:dyDescent="0.35">
      <c r="A182">
        <v>180</v>
      </c>
      <c r="B182">
        <v>3.3</v>
      </c>
      <c r="C182">
        <f t="shared" si="4"/>
        <v>3.3E-3</v>
      </c>
      <c r="D182">
        <f t="shared" si="5"/>
        <v>-5.7138328105097029</v>
      </c>
    </row>
    <row r="183" spans="1:4" x14ac:dyDescent="0.35">
      <c r="A183">
        <v>181</v>
      </c>
      <c r="B183">
        <v>3.4</v>
      </c>
      <c r="C183">
        <f t="shared" si="4"/>
        <v>3.3999999999999998E-3</v>
      </c>
      <c r="D183">
        <f t="shared" si="5"/>
        <v>-5.6839798473600212</v>
      </c>
    </row>
    <row r="184" spans="1:4" x14ac:dyDescent="0.35">
      <c r="A184">
        <v>182</v>
      </c>
      <c r="B184">
        <v>3.3</v>
      </c>
      <c r="C184">
        <f t="shared" si="4"/>
        <v>3.3E-3</v>
      </c>
      <c r="D184">
        <f t="shared" si="5"/>
        <v>-5.7138328105097029</v>
      </c>
    </row>
    <row r="185" spans="1:4" x14ac:dyDescent="0.35">
      <c r="A185">
        <v>183</v>
      </c>
      <c r="B185">
        <v>3.3</v>
      </c>
      <c r="C185">
        <f t="shared" si="4"/>
        <v>3.3E-3</v>
      </c>
      <c r="D185">
        <f t="shared" si="5"/>
        <v>-5.7138328105097029</v>
      </c>
    </row>
    <row r="186" spans="1:4" x14ac:dyDescent="0.35">
      <c r="A186">
        <v>184</v>
      </c>
      <c r="B186">
        <v>3.3</v>
      </c>
      <c r="C186">
        <f t="shared" si="4"/>
        <v>3.3E-3</v>
      </c>
      <c r="D186">
        <f t="shared" si="5"/>
        <v>-5.7138328105097029</v>
      </c>
    </row>
    <row r="187" spans="1:4" x14ac:dyDescent="0.35">
      <c r="A187">
        <v>185</v>
      </c>
      <c r="B187">
        <v>3.2</v>
      </c>
      <c r="C187">
        <f t="shared" si="4"/>
        <v>3.2000000000000002E-3</v>
      </c>
      <c r="D187">
        <f t="shared" si="5"/>
        <v>-5.7446044691764557</v>
      </c>
    </row>
    <row r="188" spans="1:4" x14ac:dyDescent="0.35">
      <c r="A188">
        <v>186</v>
      </c>
      <c r="B188">
        <v>3.2</v>
      </c>
      <c r="C188">
        <f t="shared" si="4"/>
        <v>3.2000000000000002E-3</v>
      </c>
      <c r="D188">
        <f t="shared" si="5"/>
        <v>-5.7446044691764557</v>
      </c>
    </row>
    <row r="189" spans="1:4" x14ac:dyDescent="0.35">
      <c r="A189">
        <v>187</v>
      </c>
      <c r="B189">
        <v>3.3</v>
      </c>
      <c r="C189">
        <f t="shared" si="4"/>
        <v>3.3E-3</v>
      </c>
      <c r="D189">
        <f t="shared" si="5"/>
        <v>-5.7138328105097029</v>
      </c>
    </row>
    <row r="190" spans="1:4" x14ac:dyDescent="0.35">
      <c r="A190">
        <v>188</v>
      </c>
      <c r="B190">
        <v>3.3</v>
      </c>
      <c r="C190">
        <f t="shared" si="4"/>
        <v>3.3E-3</v>
      </c>
      <c r="D190">
        <f t="shared" si="5"/>
        <v>-5.7138328105097029</v>
      </c>
    </row>
    <row r="191" spans="1:4" x14ac:dyDescent="0.35">
      <c r="A191">
        <v>189</v>
      </c>
      <c r="B191">
        <v>3.2</v>
      </c>
      <c r="C191">
        <f t="shared" si="4"/>
        <v>3.2000000000000002E-3</v>
      </c>
      <c r="D191">
        <f t="shared" si="5"/>
        <v>-5.7446044691764557</v>
      </c>
    </row>
    <row r="192" spans="1:4" x14ac:dyDescent="0.35">
      <c r="A192">
        <v>190</v>
      </c>
      <c r="B192">
        <v>3.2</v>
      </c>
      <c r="C192">
        <f t="shared" si="4"/>
        <v>3.2000000000000002E-3</v>
      </c>
      <c r="D192">
        <f t="shared" si="5"/>
        <v>-5.7446044691764557</v>
      </c>
    </row>
    <row r="193" spans="1:4" x14ac:dyDescent="0.35">
      <c r="A193">
        <v>191</v>
      </c>
      <c r="B193">
        <v>3.2</v>
      </c>
      <c r="C193">
        <f t="shared" si="4"/>
        <v>3.2000000000000002E-3</v>
      </c>
      <c r="D193">
        <f t="shared" si="5"/>
        <v>-5.7446044691764557</v>
      </c>
    </row>
    <row r="194" spans="1:4" x14ac:dyDescent="0.35">
      <c r="A194">
        <v>192</v>
      </c>
      <c r="B194">
        <v>3.2</v>
      </c>
      <c r="C194">
        <f t="shared" si="4"/>
        <v>3.2000000000000002E-3</v>
      </c>
      <c r="D194">
        <f t="shared" si="5"/>
        <v>-5.7446044691764557</v>
      </c>
    </row>
    <row r="195" spans="1:4" x14ac:dyDescent="0.35">
      <c r="A195">
        <v>193</v>
      </c>
      <c r="B195">
        <v>3.2</v>
      </c>
      <c r="C195">
        <f t="shared" ref="C195:C258" si="6">B195/1000</f>
        <v>3.2000000000000002E-3</v>
      </c>
      <c r="D195">
        <f t="shared" ref="D195:D258" si="7">LN(C195)</f>
        <v>-5.7446044691764557</v>
      </c>
    </row>
    <row r="196" spans="1:4" x14ac:dyDescent="0.35">
      <c r="A196">
        <v>194</v>
      </c>
      <c r="B196">
        <v>3.2</v>
      </c>
      <c r="C196">
        <f t="shared" si="6"/>
        <v>3.2000000000000002E-3</v>
      </c>
      <c r="D196">
        <f t="shared" si="7"/>
        <v>-5.7446044691764557</v>
      </c>
    </row>
    <row r="197" spans="1:4" x14ac:dyDescent="0.35">
      <c r="A197">
        <v>195</v>
      </c>
      <c r="B197">
        <v>3.2</v>
      </c>
      <c r="C197">
        <f t="shared" si="6"/>
        <v>3.2000000000000002E-3</v>
      </c>
      <c r="D197">
        <f t="shared" si="7"/>
        <v>-5.7446044691764557</v>
      </c>
    </row>
    <row r="198" spans="1:4" x14ac:dyDescent="0.35">
      <c r="A198">
        <v>196</v>
      </c>
      <c r="B198">
        <v>3.3</v>
      </c>
      <c r="C198">
        <f t="shared" si="6"/>
        <v>3.3E-3</v>
      </c>
      <c r="D198">
        <f t="shared" si="7"/>
        <v>-5.7138328105097029</v>
      </c>
    </row>
    <row r="199" spans="1:4" x14ac:dyDescent="0.35">
      <c r="A199">
        <v>197</v>
      </c>
      <c r="B199">
        <v>3.3</v>
      </c>
      <c r="C199">
        <f t="shared" si="6"/>
        <v>3.3E-3</v>
      </c>
      <c r="D199">
        <f t="shared" si="7"/>
        <v>-5.7138328105097029</v>
      </c>
    </row>
    <row r="200" spans="1:4" x14ac:dyDescent="0.35">
      <c r="A200">
        <v>198</v>
      </c>
      <c r="B200">
        <v>3.3</v>
      </c>
      <c r="C200">
        <f t="shared" si="6"/>
        <v>3.3E-3</v>
      </c>
      <c r="D200">
        <f t="shared" si="7"/>
        <v>-5.7138328105097029</v>
      </c>
    </row>
    <row r="201" spans="1:4" x14ac:dyDescent="0.35">
      <c r="A201">
        <v>199</v>
      </c>
      <c r="B201">
        <v>3.2</v>
      </c>
      <c r="C201">
        <f t="shared" si="6"/>
        <v>3.2000000000000002E-3</v>
      </c>
      <c r="D201">
        <f t="shared" si="7"/>
        <v>-5.7446044691764557</v>
      </c>
    </row>
    <row r="202" spans="1:4" x14ac:dyDescent="0.35">
      <c r="A202">
        <v>200</v>
      </c>
      <c r="B202">
        <v>3.2</v>
      </c>
      <c r="C202">
        <f t="shared" si="6"/>
        <v>3.2000000000000002E-3</v>
      </c>
      <c r="D202">
        <f t="shared" si="7"/>
        <v>-5.7446044691764557</v>
      </c>
    </row>
    <row r="203" spans="1:4" x14ac:dyDescent="0.35">
      <c r="A203">
        <v>201</v>
      </c>
      <c r="B203">
        <v>3.1</v>
      </c>
      <c r="C203">
        <f t="shared" si="6"/>
        <v>3.0999999999999999E-3</v>
      </c>
      <c r="D203">
        <f t="shared" si="7"/>
        <v>-5.7763531674910364</v>
      </c>
    </row>
    <row r="204" spans="1:4" x14ac:dyDescent="0.35">
      <c r="A204">
        <v>202</v>
      </c>
      <c r="B204">
        <v>3.3</v>
      </c>
      <c r="C204">
        <f t="shared" si="6"/>
        <v>3.3E-3</v>
      </c>
      <c r="D204">
        <f t="shared" si="7"/>
        <v>-5.7138328105097029</v>
      </c>
    </row>
    <row r="205" spans="1:4" x14ac:dyDescent="0.35">
      <c r="A205">
        <v>203</v>
      </c>
      <c r="B205">
        <v>3.2</v>
      </c>
      <c r="C205">
        <f t="shared" si="6"/>
        <v>3.2000000000000002E-3</v>
      </c>
      <c r="D205">
        <f t="shared" si="7"/>
        <v>-5.7446044691764557</v>
      </c>
    </row>
    <row r="206" spans="1:4" x14ac:dyDescent="0.35">
      <c r="A206">
        <v>204</v>
      </c>
      <c r="B206">
        <v>3.2</v>
      </c>
      <c r="C206">
        <f t="shared" si="6"/>
        <v>3.2000000000000002E-3</v>
      </c>
      <c r="D206">
        <f t="shared" si="7"/>
        <v>-5.7446044691764557</v>
      </c>
    </row>
    <row r="207" spans="1:4" x14ac:dyDescent="0.35">
      <c r="A207">
        <v>205</v>
      </c>
      <c r="B207">
        <v>3.2</v>
      </c>
      <c r="C207">
        <f t="shared" si="6"/>
        <v>3.2000000000000002E-3</v>
      </c>
      <c r="D207">
        <f t="shared" si="7"/>
        <v>-5.7446044691764557</v>
      </c>
    </row>
    <row r="208" spans="1:4" x14ac:dyDescent="0.35">
      <c r="A208">
        <v>206</v>
      </c>
      <c r="B208">
        <v>3.2</v>
      </c>
      <c r="C208">
        <f t="shared" si="6"/>
        <v>3.2000000000000002E-3</v>
      </c>
      <c r="D208">
        <f t="shared" si="7"/>
        <v>-5.7446044691764557</v>
      </c>
    </row>
    <row r="209" spans="1:4" x14ac:dyDescent="0.35">
      <c r="A209">
        <v>207</v>
      </c>
      <c r="B209">
        <v>3.2</v>
      </c>
      <c r="C209">
        <f t="shared" si="6"/>
        <v>3.2000000000000002E-3</v>
      </c>
      <c r="D209">
        <f t="shared" si="7"/>
        <v>-5.7446044691764557</v>
      </c>
    </row>
    <row r="210" spans="1:4" x14ac:dyDescent="0.35">
      <c r="A210">
        <v>208</v>
      </c>
      <c r="B210">
        <v>3.2</v>
      </c>
      <c r="C210">
        <f t="shared" si="6"/>
        <v>3.2000000000000002E-3</v>
      </c>
      <c r="D210">
        <f t="shared" si="7"/>
        <v>-5.7446044691764557</v>
      </c>
    </row>
    <row r="211" spans="1:4" x14ac:dyDescent="0.35">
      <c r="A211">
        <v>209</v>
      </c>
      <c r="B211">
        <v>3.2</v>
      </c>
      <c r="C211">
        <f t="shared" si="6"/>
        <v>3.2000000000000002E-3</v>
      </c>
      <c r="D211">
        <f t="shared" si="7"/>
        <v>-5.7446044691764557</v>
      </c>
    </row>
    <row r="212" spans="1:4" x14ac:dyDescent="0.35">
      <c r="A212">
        <v>210</v>
      </c>
      <c r="B212">
        <v>3.2</v>
      </c>
      <c r="C212">
        <f t="shared" si="6"/>
        <v>3.2000000000000002E-3</v>
      </c>
      <c r="D212">
        <f t="shared" si="7"/>
        <v>-5.7446044691764557</v>
      </c>
    </row>
    <row r="213" spans="1:4" x14ac:dyDescent="0.35">
      <c r="A213">
        <v>211</v>
      </c>
      <c r="B213">
        <v>3.2</v>
      </c>
      <c r="C213">
        <f t="shared" si="6"/>
        <v>3.2000000000000002E-3</v>
      </c>
      <c r="D213">
        <f t="shared" si="7"/>
        <v>-5.7446044691764557</v>
      </c>
    </row>
    <row r="214" spans="1:4" x14ac:dyDescent="0.35">
      <c r="A214">
        <v>212</v>
      </c>
      <c r="B214">
        <v>3.2</v>
      </c>
      <c r="C214">
        <f t="shared" si="6"/>
        <v>3.2000000000000002E-3</v>
      </c>
      <c r="D214">
        <f t="shared" si="7"/>
        <v>-5.7446044691764557</v>
      </c>
    </row>
    <row r="215" spans="1:4" x14ac:dyDescent="0.35">
      <c r="A215">
        <v>213</v>
      </c>
      <c r="B215">
        <v>3.1</v>
      </c>
      <c r="C215">
        <f t="shared" si="6"/>
        <v>3.0999999999999999E-3</v>
      </c>
      <c r="D215">
        <f t="shared" si="7"/>
        <v>-5.7763531674910364</v>
      </c>
    </row>
    <row r="216" spans="1:4" x14ac:dyDescent="0.35">
      <c r="A216">
        <v>214</v>
      </c>
      <c r="B216">
        <v>3.2</v>
      </c>
      <c r="C216">
        <f t="shared" si="6"/>
        <v>3.2000000000000002E-3</v>
      </c>
      <c r="D216">
        <f t="shared" si="7"/>
        <v>-5.7446044691764557</v>
      </c>
    </row>
    <row r="217" spans="1:4" x14ac:dyDescent="0.35">
      <c r="A217">
        <v>215</v>
      </c>
      <c r="B217">
        <v>3.2</v>
      </c>
      <c r="C217">
        <f t="shared" si="6"/>
        <v>3.2000000000000002E-3</v>
      </c>
      <c r="D217">
        <f t="shared" si="7"/>
        <v>-5.7446044691764557</v>
      </c>
    </row>
    <row r="218" spans="1:4" x14ac:dyDescent="0.35">
      <c r="A218">
        <v>216</v>
      </c>
      <c r="B218">
        <v>3.2</v>
      </c>
      <c r="C218">
        <f t="shared" si="6"/>
        <v>3.2000000000000002E-3</v>
      </c>
      <c r="D218">
        <f t="shared" si="7"/>
        <v>-5.7446044691764557</v>
      </c>
    </row>
    <row r="219" spans="1:4" x14ac:dyDescent="0.35">
      <c r="A219">
        <v>217</v>
      </c>
      <c r="B219">
        <v>3.1</v>
      </c>
      <c r="C219">
        <f t="shared" si="6"/>
        <v>3.0999999999999999E-3</v>
      </c>
      <c r="D219">
        <f t="shared" si="7"/>
        <v>-5.7763531674910364</v>
      </c>
    </row>
    <row r="220" spans="1:4" x14ac:dyDescent="0.35">
      <c r="A220">
        <v>218</v>
      </c>
      <c r="B220">
        <v>3.2</v>
      </c>
      <c r="C220">
        <f t="shared" si="6"/>
        <v>3.2000000000000002E-3</v>
      </c>
      <c r="D220">
        <f t="shared" si="7"/>
        <v>-5.7446044691764557</v>
      </c>
    </row>
    <row r="221" spans="1:4" x14ac:dyDescent="0.35">
      <c r="A221">
        <v>219</v>
      </c>
      <c r="B221">
        <v>3.2</v>
      </c>
      <c r="C221">
        <f t="shared" si="6"/>
        <v>3.2000000000000002E-3</v>
      </c>
      <c r="D221">
        <f t="shared" si="7"/>
        <v>-5.7446044691764557</v>
      </c>
    </row>
    <row r="222" spans="1:4" x14ac:dyDescent="0.35">
      <c r="A222">
        <v>220</v>
      </c>
      <c r="B222">
        <v>3.2</v>
      </c>
      <c r="C222">
        <f t="shared" si="6"/>
        <v>3.2000000000000002E-3</v>
      </c>
      <c r="D222">
        <f t="shared" si="7"/>
        <v>-5.7446044691764557</v>
      </c>
    </row>
    <row r="223" spans="1:4" x14ac:dyDescent="0.35">
      <c r="A223">
        <v>221</v>
      </c>
      <c r="B223">
        <v>3.2</v>
      </c>
      <c r="C223">
        <f t="shared" si="6"/>
        <v>3.2000000000000002E-3</v>
      </c>
      <c r="D223">
        <f t="shared" si="7"/>
        <v>-5.7446044691764557</v>
      </c>
    </row>
    <row r="224" spans="1:4" x14ac:dyDescent="0.35">
      <c r="A224">
        <v>222</v>
      </c>
      <c r="B224">
        <v>3.1</v>
      </c>
      <c r="C224">
        <f t="shared" si="6"/>
        <v>3.0999999999999999E-3</v>
      </c>
      <c r="D224">
        <f t="shared" si="7"/>
        <v>-5.7763531674910364</v>
      </c>
    </row>
    <row r="225" spans="1:4" x14ac:dyDescent="0.35">
      <c r="A225">
        <v>223</v>
      </c>
      <c r="B225">
        <v>3.1</v>
      </c>
      <c r="C225">
        <f t="shared" si="6"/>
        <v>3.0999999999999999E-3</v>
      </c>
      <c r="D225">
        <f t="shared" si="7"/>
        <v>-5.7763531674910364</v>
      </c>
    </row>
    <row r="226" spans="1:4" x14ac:dyDescent="0.35">
      <c r="A226">
        <v>224</v>
      </c>
      <c r="B226">
        <v>3.2</v>
      </c>
      <c r="C226">
        <f t="shared" si="6"/>
        <v>3.2000000000000002E-3</v>
      </c>
      <c r="D226">
        <f t="shared" si="7"/>
        <v>-5.7446044691764557</v>
      </c>
    </row>
    <row r="227" spans="1:4" x14ac:dyDescent="0.35">
      <c r="A227">
        <v>225</v>
      </c>
      <c r="B227">
        <v>3.2</v>
      </c>
      <c r="C227">
        <f t="shared" si="6"/>
        <v>3.2000000000000002E-3</v>
      </c>
      <c r="D227">
        <f t="shared" si="7"/>
        <v>-5.7446044691764557</v>
      </c>
    </row>
    <row r="228" spans="1:4" x14ac:dyDescent="0.35">
      <c r="A228">
        <v>226</v>
      </c>
      <c r="B228">
        <v>3.3</v>
      </c>
      <c r="C228">
        <f t="shared" si="6"/>
        <v>3.3E-3</v>
      </c>
      <c r="D228">
        <f t="shared" si="7"/>
        <v>-5.7138328105097029</v>
      </c>
    </row>
    <row r="229" spans="1:4" x14ac:dyDescent="0.35">
      <c r="A229">
        <v>227</v>
      </c>
      <c r="B229">
        <v>3.2</v>
      </c>
      <c r="C229">
        <f t="shared" si="6"/>
        <v>3.2000000000000002E-3</v>
      </c>
      <c r="D229">
        <f t="shared" si="7"/>
        <v>-5.7446044691764557</v>
      </c>
    </row>
    <row r="230" spans="1:4" x14ac:dyDescent="0.35">
      <c r="A230">
        <v>228</v>
      </c>
      <c r="B230">
        <v>3.2</v>
      </c>
      <c r="C230">
        <f t="shared" si="6"/>
        <v>3.2000000000000002E-3</v>
      </c>
      <c r="D230">
        <f t="shared" si="7"/>
        <v>-5.7446044691764557</v>
      </c>
    </row>
    <row r="231" spans="1:4" x14ac:dyDescent="0.35">
      <c r="A231">
        <v>229</v>
      </c>
      <c r="B231">
        <v>3.2</v>
      </c>
      <c r="C231">
        <f t="shared" si="6"/>
        <v>3.2000000000000002E-3</v>
      </c>
      <c r="D231">
        <f t="shared" si="7"/>
        <v>-5.7446044691764557</v>
      </c>
    </row>
    <row r="232" spans="1:4" x14ac:dyDescent="0.35">
      <c r="A232">
        <v>230</v>
      </c>
      <c r="B232">
        <v>3.2</v>
      </c>
      <c r="C232">
        <f t="shared" si="6"/>
        <v>3.2000000000000002E-3</v>
      </c>
      <c r="D232">
        <f t="shared" si="7"/>
        <v>-5.7446044691764557</v>
      </c>
    </row>
    <row r="233" spans="1:4" x14ac:dyDescent="0.35">
      <c r="A233">
        <v>231</v>
      </c>
      <c r="B233">
        <v>3.2</v>
      </c>
      <c r="C233">
        <f t="shared" si="6"/>
        <v>3.2000000000000002E-3</v>
      </c>
      <c r="D233">
        <f t="shared" si="7"/>
        <v>-5.7446044691764557</v>
      </c>
    </row>
    <row r="234" spans="1:4" x14ac:dyDescent="0.35">
      <c r="A234">
        <v>232</v>
      </c>
      <c r="B234">
        <v>3.2</v>
      </c>
      <c r="C234">
        <f t="shared" si="6"/>
        <v>3.2000000000000002E-3</v>
      </c>
      <c r="D234">
        <f t="shared" si="7"/>
        <v>-5.7446044691764557</v>
      </c>
    </row>
    <row r="235" spans="1:4" x14ac:dyDescent="0.35">
      <c r="A235">
        <v>233</v>
      </c>
      <c r="B235">
        <v>3.2</v>
      </c>
      <c r="C235">
        <f t="shared" si="6"/>
        <v>3.2000000000000002E-3</v>
      </c>
      <c r="D235">
        <f t="shared" si="7"/>
        <v>-5.7446044691764557</v>
      </c>
    </row>
    <row r="236" spans="1:4" x14ac:dyDescent="0.35">
      <c r="A236">
        <v>234</v>
      </c>
      <c r="B236">
        <v>3.2</v>
      </c>
      <c r="C236">
        <f t="shared" si="6"/>
        <v>3.2000000000000002E-3</v>
      </c>
      <c r="D236">
        <f t="shared" si="7"/>
        <v>-5.7446044691764557</v>
      </c>
    </row>
    <row r="237" spans="1:4" x14ac:dyDescent="0.35">
      <c r="A237">
        <v>235</v>
      </c>
      <c r="B237">
        <v>3.2</v>
      </c>
      <c r="C237">
        <f t="shared" si="6"/>
        <v>3.2000000000000002E-3</v>
      </c>
      <c r="D237">
        <f t="shared" si="7"/>
        <v>-5.7446044691764557</v>
      </c>
    </row>
    <row r="238" spans="1:4" x14ac:dyDescent="0.35">
      <c r="A238">
        <v>236</v>
      </c>
      <c r="B238">
        <v>3.2</v>
      </c>
      <c r="C238">
        <f t="shared" si="6"/>
        <v>3.2000000000000002E-3</v>
      </c>
      <c r="D238">
        <f t="shared" si="7"/>
        <v>-5.7446044691764557</v>
      </c>
    </row>
    <row r="239" spans="1:4" x14ac:dyDescent="0.35">
      <c r="A239">
        <v>237</v>
      </c>
      <c r="B239">
        <v>3.2</v>
      </c>
      <c r="C239">
        <f t="shared" si="6"/>
        <v>3.2000000000000002E-3</v>
      </c>
      <c r="D239">
        <f t="shared" si="7"/>
        <v>-5.7446044691764557</v>
      </c>
    </row>
    <row r="240" spans="1:4" x14ac:dyDescent="0.35">
      <c r="A240">
        <v>238</v>
      </c>
      <c r="B240">
        <v>3.2</v>
      </c>
      <c r="C240">
        <f t="shared" si="6"/>
        <v>3.2000000000000002E-3</v>
      </c>
      <c r="D240">
        <f t="shared" si="7"/>
        <v>-5.7446044691764557</v>
      </c>
    </row>
    <row r="241" spans="1:4" x14ac:dyDescent="0.35">
      <c r="A241">
        <v>239</v>
      </c>
      <c r="B241">
        <v>3.2</v>
      </c>
      <c r="C241">
        <f t="shared" si="6"/>
        <v>3.2000000000000002E-3</v>
      </c>
      <c r="D241">
        <f t="shared" si="7"/>
        <v>-5.7446044691764557</v>
      </c>
    </row>
    <row r="242" spans="1:4" x14ac:dyDescent="0.35">
      <c r="A242">
        <v>240</v>
      </c>
      <c r="B242">
        <v>3.2</v>
      </c>
      <c r="C242">
        <f t="shared" si="6"/>
        <v>3.2000000000000002E-3</v>
      </c>
      <c r="D242">
        <f t="shared" si="7"/>
        <v>-5.7446044691764557</v>
      </c>
    </row>
    <row r="243" spans="1:4" x14ac:dyDescent="0.35">
      <c r="A243">
        <v>241</v>
      </c>
      <c r="B243">
        <v>3.1</v>
      </c>
      <c r="C243">
        <f t="shared" si="6"/>
        <v>3.0999999999999999E-3</v>
      </c>
      <c r="D243">
        <f t="shared" si="7"/>
        <v>-5.7763531674910364</v>
      </c>
    </row>
    <row r="244" spans="1:4" x14ac:dyDescent="0.35">
      <c r="A244">
        <v>242</v>
      </c>
      <c r="B244">
        <v>3.1</v>
      </c>
      <c r="C244">
        <f t="shared" si="6"/>
        <v>3.0999999999999999E-3</v>
      </c>
      <c r="D244">
        <f t="shared" si="7"/>
        <v>-5.7763531674910364</v>
      </c>
    </row>
    <row r="245" spans="1:4" x14ac:dyDescent="0.35">
      <c r="A245">
        <v>243</v>
      </c>
      <c r="B245">
        <v>3.1</v>
      </c>
      <c r="C245">
        <f t="shared" si="6"/>
        <v>3.0999999999999999E-3</v>
      </c>
      <c r="D245">
        <f t="shared" si="7"/>
        <v>-5.7763531674910364</v>
      </c>
    </row>
    <row r="246" spans="1:4" x14ac:dyDescent="0.35">
      <c r="A246">
        <v>244</v>
      </c>
      <c r="B246">
        <v>3.1</v>
      </c>
      <c r="C246">
        <f t="shared" si="6"/>
        <v>3.0999999999999999E-3</v>
      </c>
      <c r="D246">
        <f t="shared" si="7"/>
        <v>-5.7763531674910364</v>
      </c>
    </row>
    <row r="247" spans="1:4" x14ac:dyDescent="0.35">
      <c r="A247">
        <v>245</v>
      </c>
      <c r="B247">
        <v>3.2</v>
      </c>
      <c r="C247">
        <f t="shared" si="6"/>
        <v>3.2000000000000002E-3</v>
      </c>
      <c r="D247">
        <f t="shared" si="7"/>
        <v>-5.7446044691764557</v>
      </c>
    </row>
    <row r="248" spans="1:4" x14ac:dyDescent="0.35">
      <c r="A248">
        <v>246</v>
      </c>
      <c r="B248">
        <v>3.2</v>
      </c>
      <c r="C248">
        <f t="shared" si="6"/>
        <v>3.2000000000000002E-3</v>
      </c>
      <c r="D248">
        <f t="shared" si="7"/>
        <v>-5.7446044691764557</v>
      </c>
    </row>
    <row r="249" spans="1:4" x14ac:dyDescent="0.35">
      <c r="A249">
        <v>247</v>
      </c>
      <c r="B249">
        <v>3.2</v>
      </c>
      <c r="C249">
        <f t="shared" si="6"/>
        <v>3.2000000000000002E-3</v>
      </c>
      <c r="D249">
        <f t="shared" si="7"/>
        <v>-5.7446044691764557</v>
      </c>
    </row>
    <row r="250" spans="1:4" x14ac:dyDescent="0.35">
      <c r="A250">
        <v>248</v>
      </c>
      <c r="B250">
        <v>3.1</v>
      </c>
      <c r="C250">
        <f t="shared" si="6"/>
        <v>3.0999999999999999E-3</v>
      </c>
      <c r="D250">
        <f t="shared" si="7"/>
        <v>-5.7763531674910364</v>
      </c>
    </row>
    <row r="251" spans="1:4" x14ac:dyDescent="0.35">
      <c r="A251">
        <v>249</v>
      </c>
      <c r="B251">
        <v>3.1</v>
      </c>
      <c r="C251">
        <f t="shared" si="6"/>
        <v>3.0999999999999999E-3</v>
      </c>
      <c r="D251">
        <f t="shared" si="7"/>
        <v>-5.7763531674910364</v>
      </c>
    </row>
    <row r="252" spans="1:4" x14ac:dyDescent="0.35">
      <c r="A252">
        <v>250</v>
      </c>
      <c r="B252">
        <v>3.2</v>
      </c>
      <c r="C252">
        <f t="shared" si="6"/>
        <v>3.2000000000000002E-3</v>
      </c>
      <c r="D252">
        <f t="shared" si="7"/>
        <v>-5.7446044691764557</v>
      </c>
    </row>
    <row r="253" spans="1:4" x14ac:dyDescent="0.35">
      <c r="A253">
        <v>251</v>
      </c>
      <c r="B253">
        <v>3.2</v>
      </c>
      <c r="C253">
        <f t="shared" si="6"/>
        <v>3.2000000000000002E-3</v>
      </c>
      <c r="D253">
        <f t="shared" si="7"/>
        <v>-5.7446044691764557</v>
      </c>
    </row>
    <row r="254" spans="1:4" x14ac:dyDescent="0.35">
      <c r="A254">
        <v>252</v>
      </c>
      <c r="B254">
        <v>3.2</v>
      </c>
      <c r="C254">
        <f t="shared" si="6"/>
        <v>3.2000000000000002E-3</v>
      </c>
      <c r="D254">
        <f t="shared" si="7"/>
        <v>-5.7446044691764557</v>
      </c>
    </row>
    <row r="255" spans="1:4" x14ac:dyDescent="0.35">
      <c r="A255">
        <v>253</v>
      </c>
      <c r="B255">
        <v>3.1</v>
      </c>
      <c r="C255">
        <f t="shared" si="6"/>
        <v>3.0999999999999999E-3</v>
      </c>
      <c r="D255">
        <f t="shared" si="7"/>
        <v>-5.7763531674910364</v>
      </c>
    </row>
    <row r="256" spans="1:4" x14ac:dyDescent="0.35">
      <c r="A256">
        <v>254</v>
      </c>
      <c r="B256">
        <v>3.1</v>
      </c>
      <c r="C256">
        <f t="shared" si="6"/>
        <v>3.0999999999999999E-3</v>
      </c>
      <c r="D256">
        <f t="shared" si="7"/>
        <v>-5.7763531674910364</v>
      </c>
    </row>
    <row r="257" spans="1:4" x14ac:dyDescent="0.35">
      <c r="A257">
        <v>255</v>
      </c>
      <c r="B257">
        <v>3.1</v>
      </c>
      <c r="C257">
        <f t="shared" si="6"/>
        <v>3.0999999999999999E-3</v>
      </c>
      <c r="D257">
        <f t="shared" si="7"/>
        <v>-5.7763531674910364</v>
      </c>
    </row>
    <row r="258" spans="1:4" x14ac:dyDescent="0.35">
      <c r="A258">
        <v>256</v>
      </c>
      <c r="B258">
        <v>3.1</v>
      </c>
      <c r="C258">
        <f t="shared" si="6"/>
        <v>3.0999999999999999E-3</v>
      </c>
      <c r="D258">
        <f t="shared" si="7"/>
        <v>-5.7763531674910364</v>
      </c>
    </row>
    <row r="259" spans="1:4" x14ac:dyDescent="0.35">
      <c r="A259">
        <v>257</v>
      </c>
      <c r="B259">
        <v>3.1</v>
      </c>
      <c r="C259">
        <f t="shared" ref="C259:C301" si="8">B259/1000</f>
        <v>3.0999999999999999E-3</v>
      </c>
      <c r="D259">
        <f t="shared" ref="D259:D301" si="9">LN(C259)</f>
        <v>-5.7763531674910364</v>
      </c>
    </row>
    <row r="260" spans="1:4" x14ac:dyDescent="0.35">
      <c r="A260">
        <v>258</v>
      </c>
      <c r="B260">
        <v>3.1</v>
      </c>
      <c r="C260">
        <f t="shared" si="8"/>
        <v>3.0999999999999999E-3</v>
      </c>
      <c r="D260">
        <f t="shared" si="9"/>
        <v>-5.7763531674910364</v>
      </c>
    </row>
    <row r="261" spans="1:4" x14ac:dyDescent="0.35">
      <c r="A261">
        <v>259</v>
      </c>
      <c r="B261">
        <v>3.1</v>
      </c>
      <c r="C261">
        <f t="shared" si="8"/>
        <v>3.0999999999999999E-3</v>
      </c>
      <c r="D261">
        <f t="shared" si="9"/>
        <v>-5.7763531674910364</v>
      </c>
    </row>
    <row r="262" spans="1:4" x14ac:dyDescent="0.35">
      <c r="A262">
        <v>260</v>
      </c>
      <c r="B262">
        <v>3.1</v>
      </c>
      <c r="C262">
        <f t="shared" si="8"/>
        <v>3.0999999999999999E-3</v>
      </c>
      <c r="D262">
        <f t="shared" si="9"/>
        <v>-5.7763531674910364</v>
      </c>
    </row>
    <row r="263" spans="1:4" x14ac:dyDescent="0.35">
      <c r="A263">
        <v>261</v>
      </c>
      <c r="B263">
        <v>3.1</v>
      </c>
      <c r="C263">
        <f t="shared" si="8"/>
        <v>3.0999999999999999E-3</v>
      </c>
      <c r="D263">
        <f t="shared" si="9"/>
        <v>-5.7763531674910364</v>
      </c>
    </row>
    <row r="264" spans="1:4" x14ac:dyDescent="0.35">
      <c r="A264">
        <v>262</v>
      </c>
      <c r="B264">
        <v>3.2</v>
      </c>
      <c r="C264">
        <f t="shared" si="8"/>
        <v>3.2000000000000002E-3</v>
      </c>
      <c r="D264">
        <f t="shared" si="9"/>
        <v>-5.7446044691764557</v>
      </c>
    </row>
    <row r="265" spans="1:4" x14ac:dyDescent="0.35">
      <c r="A265">
        <v>263</v>
      </c>
      <c r="B265">
        <v>3.2</v>
      </c>
      <c r="C265">
        <f t="shared" si="8"/>
        <v>3.2000000000000002E-3</v>
      </c>
      <c r="D265">
        <f t="shared" si="9"/>
        <v>-5.7446044691764557</v>
      </c>
    </row>
    <row r="266" spans="1:4" x14ac:dyDescent="0.35">
      <c r="A266">
        <v>264</v>
      </c>
      <c r="B266">
        <v>3.2</v>
      </c>
      <c r="C266">
        <f t="shared" si="8"/>
        <v>3.2000000000000002E-3</v>
      </c>
      <c r="D266">
        <f t="shared" si="9"/>
        <v>-5.7446044691764557</v>
      </c>
    </row>
    <row r="267" spans="1:4" x14ac:dyDescent="0.35">
      <c r="A267">
        <v>265</v>
      </c>
      <c r="B267">
        <v>3.1</v>
      </c>
      <c r="C267">
        <f t="shared" si="8"/>
        <v>3.0999999999999999E-3</v>
      </c>
      <c r="D267">
        <f t="shared" si="9"/>
        <v>-5.7763531674910364</v>
      </c>
    </row>
    <row r="268" spans="1:4" x14ac:dyDescent="0.35">
      <c r="A268">
        <v>266</v>
      </c>
      <c r="B268">
        <v>3.2</v>
      </c>
      <c r="C268">
        <f t="shared" si="8"/>
        <v>3.2000000000000002E-3</v>
      </c>
      <c r="D268">
        <f t="shared" si="9"/>
        <v>-5.7446044691764557</v>
      </c>
    </row>
    <row r="269" spans="1:4" x14ac:dyDescent="0.35">
      <c r="A269">
        <v>267</v>
      </c>
      <c r="B269">
        <v>3.2</v>
      </c>
      <c r="C269">
        <f t="shared" si="8"/>
        <v>3.2000000000000002E-3</v>
      </c>
      <c r="D269">
        <f t="shared" si="9"/>
        <v>-5.7446044691764557</v>
      </c>
    </row>
    <row r="270" spans="1:4" x14ac:dyDescent="0.35">
      <c r="A270">
        <v>268</v>
      </c>
      <c r="B270">
        <v>3.1</v>
      </c>
      <c r="C270">
        <f t="shared" si="8"/>
        <v>3.0999999999999999E-3</v>
      </c>
      <c r="D270">
        <f t="shared" si="9"/>
        <v>-5.7763531674910364</v>
      </c>
    </row>
    <row r="271" spans="1:4" x14ac:dyDescent="0.35">
      <c r="A271">
        <v>269</v>
      </c>
      <c r="B271">
        <v>3.1</v>
      </c>
      <c r="C271">
        <f t="shared" si="8"/>
        <v>3.0999999999999999E-3</v>
      </c>
      <c r="D271">
        <f t="shared" si="9"/>
        <v>-5.7763531674910364</v>
      </c>
    </row>
    <row r="272" spans="1:4" x14ac:dyDescent="0.35">
      <c r="A272">
        <v>270</v>
      </c>
      <c r="B272">
        <v>3.1</v>
      </c>
      <c r="C272">
        <f t="shared" si="8"/>
        <v>3.0999999999999999E-3</v>
      </c>
      <c r="D272">
        <f t="shared" si="9"/>
        <v>-5.7763531674910364</v>
      </c>
    </row>
    <row r="273" spans="1:4" x14ac:dyDescent="0.35">
      <c r="A273">
        <v>271</v>
      </c>
      <c r="B273">
        <v>3.2</v>
      </c>
      <c r="C273">
        <f t="shared" si="8"/>
        <v>3.2000000000000002E-3</v>
      </c>
      <c r="D273">
        <f t="shared" si="9"/>
        <v>-5.7446044691764557</v>
      </c>
    </row>
    <row r="274" spans="1:4" x14ac:dyDescent="0.35">
      <c r="A274">
        <v>272</v>
      </c>
      <c r="B274">
        <v>3.2</v>
      </c>
      <c r="C274">
        <f t="shared" si="8"/>
        <v>3.2000000000000002E-3</v>
      </c>
      <c r="D274">
        <f t="shared" si="9"/>
        <v>-5.7446044691764557</v>
      </c>
    </row>
    <row r="275" spans="1:4" x14ac:dyDescent="0.35">
      <c r="A275">
        <v>273</v>
      </c>
      <c r="B275">
        <v>3.2</v>
      </c>
      <c r="C275">
        <f t="shared" si="8"/>
        <v>3.2000000000000002E-3</v>
      </c>
      <c r="D275">
        <f t="shared" si="9"/>
        <v>-5.7446044691764557</v>
      </c>
    </row>
    <row r="276" spans="1:4" x14ac:dyDescent="0.35">
      <c r="A276">
        <v>274</v>
      </c>
      <c r="B276">
        <v>3.2</v>
      </c>
      <c r="C276">
        <f t="shared" si="8"/>
        <v>3.2000000000000002E-3</v>
      </c>
      <c r="D276">
        <f t="shared" si="9"/>
        <v>-5.7446044691764557</v>
      </c>
    </row>
    <row r="277" spans="1:4" x14ac:dyDescent="0.35">
      <c r="A277">
        <v>275</v>
      </c>
      <c r="B277">
        <v>3.1</v>
      </c>
      <c r="C277">
        <f t="shared" si="8"/>
        <v>3.0999999999999999E-3</v>
      </c>
      <c r="D277">
        <f t="shared" si="9"/>
        <v>-5.7763531674910364</v>
      </c>
    </row>
    <row r="278" spans="1:4" x14ac:dyDescent="0.35">
      <c r="A278">
        <v>276</v>
      </c>
      <c r="B278">
        <v>3.1</v>
      </c>
      <c r="C278">
        <f t="shared" si="8"/>
        <v>3.0999999999999999E-3</v>
      </c>
      <c r="D278">
        <f t="shared" si="9"/>
        <v>-5.7763531674910364</v>
      </c>
    </row>
    <row r="279" spans="1:4" x14ac:dyDescent="0.35">
      <c r="A279">
        <v>277</v>
      </c>
      <c r="B279">
        <v>3.2</v>
      </c>
      <c r="C279">
        <f t="shared" si="8"/>
        <v>3.2000000000000002E-3</v>
      </c>
      <c r="D279">
        <f t="shared" si="9"/>
        <v>-5.7446044691764557</v>
      </c>
    </row>
    <row r="280" spans="1:4" x14ac:dyDescent="0.35">
      <c r="A280">
        <v>278</v>
      </c>
      <c r="B280">
        <v>3.1</v>
      </c>
      <c r="C280">
        <f t="shared" si="8"/>
        <v>3.0999999999999999E-3</v>
      </c>
      <c r="D280">
        <f t="shared" si="9"/>
        <v>-5.7763531674910364</v>
      </c>
    </row>
    <row r="281" spans="1:4" x14ac:dyDescent="0.35">
      <c r="A281">
        <v>279</v>
      </c>
      <c r="B281">
        <v>3.2</v>
      </c>
      <c r="C281">
        <f t="shared" si="8"/>
        <v>3.2000000000000002E-3</v>
      </c>
      <c r="D281">
        <f t="shared" si="9"/>
        <v>-5.7446044691764557</v>
      </c>
    </row>
    <row r="282" spans="1:4" x14ac:dyDescent="0.35">
      <c r="A282">
        <v>280</v>
      </c>
      <c r="B282">
        <v>3.2</v>
      </c>
      <c r="C282">
        <f t="shared" si="8"/>
        <v>3.2000000000000002E-3</v>
      </c>
      <c r="D282">
        <f t="shared" si="9"/>
        <v>-5.7446044691764557</v>
      </c>
    </row>
    <row r="283" spans="1:4" x14ac:dyDescent="0.35">
      <c r="A283">
        <v>281</v>
      </c>
      <c r="B283">
        <v>3.1</v>
      </c>
      <c r="C283">
        <f t="shared" si="8"/>
        <v>3.0999999999999999E-3</v>
      </c>
      <c r="D283">
        <f t="shared" si="9"/>
        <v>-5.7763531674910364</v>
      </c>
    </row>
    <row r="284" spans="1:4" x14ac:dyDescent="0.35">
      <c r="A284">
        <v>282</v>
      </c>
      <c r="B284">
        <v>3.2</v>
      </c>
      <c r="C284">
        <f t="shared" si="8"/>
        <v>3.2000000000000002E-3</v>
      </c>
      <c r="D284">
        <f t="shared" si="9"/>
        <v>-5.7446044691764557</v>
      </c>
    </row>
    <row r="285" spans="1:4" x14ac:dyDescent="0.35">
      <c r="A285">
        <v>283</v>
      </c>
      <c r="B285">
        <v>3.2</v>
      </c>
      <c r="C285">
        <f t="shared" si="8"/>
        <v>3.2000000000000002E-3</v>
      </c>
      <c r="D285">
        <f t="shared" si="9"/>
        <v>-5.7446044691764557</v>
      </c>
    </row>
    <row r="286" spans="1:4" x14ac:dyDescent="0.35">
      <c r="A286">
        <v>284</v>
      </c>
      <c r="B286">
        <v>3.1</v>
      </c>
      <c r="C286">
        <f t="shared" si="8"/>
        <v>3.0999999999999999E-3</v>
      </c>
      <c r="D286">
        <f t="shared" si="9"/>
        <v>-5.7763531674910364</v>
      </c>
    </row>
    <row r="287" spans="1:4" x14ac:dyDescent="0.35">
      <c r="A287">
        <v>285</v>
      </c>
      <c r="B287">
        <v>3.1</v>
      </c>
      <c r="C287">
        <f t="shared" si="8"/>
        <v>3.0999999999999999E-3</v>
      </c>
      <c r="D287">
        <f t="shared" si="9"/>
        <v>-5.7763531674910364</v>
      </c>
    </row>
    <row r="288" spans="1:4" x14ac:dyDescent="0.35">
      <c r="A288">
        <v>286</v>
      </c>
      <c r="B288">
        <v>3</v>
      </c>
      <c r="C288">
        <f t="shared" si="8"/>
        <v>3.0000000000000001E-3</v>
      </c>
      <c r="D288">
        <f t="shared" si="9"/>
        <v>-5.8091429903140277</v>
      </c>
    </row>
    <row r="289" spans="1:4" x14ac:dyDescent="0.35">
      <c r="A289">
        <v>287</v>
      </c>
      <c r="B289">
        <v>3.1</v>
      </c>
      <c r="C289">
        <f t="shared" si="8"/>
        <v>3.0999999999999999E-3</v>
      </c>
      <c r="D289">
        <f t="shared" si="9"/>
        <v>-5.7763531674910364</v>
      </c>
    </row>
    <row r="290" spans="1:4" x14ac:dyDescent="0.35">
      <c r="A290">
        <v>288</v>
      </c>
      <c r="B290">
        <v>3.1</v>
      </c>
      <c r="C290">
        <f t="shared" si="8"/>
        <v>3.0999999999999999E-3</v>
      </c>
      <c r="D290">
        <f t="shared" si="9"/>
        <v>-5.7763531674910364</v>
      </c>
    </row>
    <row r="291" spans="1:4" x14ac:dyDescent="0.35">
      <c r="A291">
        <v>289</v>
      </c>
      <c r="B291">
        <v>3.1</v>
      </c>
      <c r="C291">
        <f t="shared" si="8"/>
        <v>3.0999999999999999E-3</v>
      </c>
      <c r="D291">
        <f t="shared" si="9"/>
        <v>-5.7763531674910364</v>
      </c>
    </row>
    <row r="292" spans="1:4" x14ac:dyDescent="0.35">
      <c r="A292">
        <v>290</v>
      </c>
      <c r="B292">
        <v>3.2</v>
      </c>
      <c r="C292">
        <f t="shared" si="8"/>
        <v>3.2000000000000002E-3</v>
      </c>
      <c r="D292">
        <f t="shared" si="9"/>
        <v>-5.7446044691764557</v>
      </c>
    </row>
    <row r="293" spans="1:4" x14ac:dyDescent="0.35">
      <c r="A293">
        <v>291</v>
      </c>
      <c r="B293">
        <v>3.1</v>
      </c>
      <c r="C293">
        <f t="shared" si="8"/>
        <v>3.0999999999999999E-3</v>
      </c>
      <c r="D293">
        <f t="shared" si="9"/>
        <v>-5.7763531674910364</v>
      </c>
    </row>
    <row r="294" spans="1:4" x14ac:dyDescent="0.35">
      <c r="A294">
        <v>292</v>
      </c>
      <c r="B294">
        <v>3.1</v>
      </c>
      <c r="C294">
        <f t="shared" si="8"/>
        <v>3.0999999999999999E-3</v>
      </c>
      <c r="D294">
        <f t="shared" si="9"/>
        <v>-5.7763531674910364</v>
      </c>
    </row>
    <row r="295" spans="1:4" x14ac:dyDescent="0.35">
      <c r="A295">
        <v>293</v>
      </c>
      <c r="B295">
        <v>3.1</v>
      </c>
      <c r="C295">
        <f t="shared" si="8"/>
        <v>3.0999999999999999E-3</v>
      </c>
      <c r="D295">
        <f t="shared" si="9"/>
        <v>-5.7763531674910364</v>
      </c>
    </row>
    <row r="296" spans="1:4" x14ac:dyDescent="0.35">
      <c r="A296">
        <v>294</v>
      </c>
      <c r="B296">
        <v>3</v>
      </c>
      <c r="C296">
        <f t="shared" si="8"/>
        <v>3.0000000000000001E-3</v>
      </c>
      <c r="D296">
        <f t="shared" si="9"/>
        <v>-5.8091429903140277</v>
      </c>
    </row>
    <row r="297" spans="1:4" x14ac:dyDescent="0.35">
      <c r="A297">
        <v>295</v>
      </c>
      <c r="B297">
        <v>3.1</v>
      </c>
      <c r="C297">
        <f t="shared" si="8"/>
        <v>3.0999999999999999E-3</v>
      </c>
      <c r="D297">
        <f t="shared" si="9"/>
        <v>-5.7763531674910364</v>
      </c>
    </row>
    <row r="298" spans="1:4" x14ac:dyDescent="0.35">
      <c r="A298">
        <v>296</v>
      </c>
      <c r="B298">
        <v>3.2</v>
      </c>
      <c r="C298">
        <f t="shared" si="8"/>
        <v>3.2000000000000002E-3</v>
      </c>
      <c r="D298">
        <f t="shared" si="9"/>
        <v>-5.7446044691764557</v>
      </c>
    </row>
    <row r="299" spans="1:4" x14ac:dyDescent="0.35">
      <c r="A299">
        <v>297</v>
      </c>
      <c r="B299">
        <v>3.1</v>
      </c>
      <c r="C299">
        <f t="shared" si="8"/>
        <v>3.0999999999999999E-3</v>
      </c>
      <c r="D299">
        <f t="shared" si="9"/>
        <v>-5.7763531674910364</v>
      </c>
    </row>
    <row r="300" spans="1:4" x14ac:dyDescent="0.35">
      <c r="A300">
        <v>298</v>
      </c>
      <c r="B300">
        <v>3.1</v>
      </c>
      <c r="C300">
        <f t="shared" si="8"/>
        <v>3.0999999999999999E-3</v>
      </c>
      <c r="D300">
        <f t="shared" si="9"/>
        <v>-5.7763531674910364</v>
      </c>
    </row>
    <row r="301" spans="1:4" x14ac:dyDescent="0.35">
      <c r="A301">
        <v>299</v>
      </c>
      <c r="B301">
        <v>3</v>
      </c>
      <c r="C301">
        <f t="shared" si="8"/>
        <v>3.0000000000000001E-3</v>
      </c>
      <c r="D301">
        <f t="shared" si="9"/>
        <v>-5.8091429903140277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E5E49-0AAA-46AC-A206-42A190A77785}">
  <dimension ref="A1:O301"/>
  <sheetViews>
    <sheetView workbookViewId="0">
      <selection activeCell="K2" sqref="K2"/>
    </sheetView>
  </sheetViews>
  <sheetFormatPr defaultRowHeight="14.5" x14ac:dyDescent="0.35"/>
  <cols>
    <col min="14" max="14" width="12.26953125" bestFit="1" customWidth="1"/>
    <col min="15" max="15" width="8.81640625" bestFit="1" customWidth="1"/>
  </cols>
  <sheetData>
    <row r="1" spans="1:14" x14ac:dyDescent="0.35">
      <c r="A1" t="s">
        <v>35</v>
      </c>
      <c r="B1" t="s">
        <v>36</v>
      </c>
      <c r="C1" t="s">
        <v>30</v>
      </c>
      <c r="D1" t="s">
        <v>37</v>
      </c>
      <c r="H1" t="s">
        <v>32</v>
      </c>
      <c r="I1" s="6" t="s">
        <v>31</v>
      </c>
      <c r="J1" t="s">
        <v>33</v>
      </c>
      <c r="K1" s="6" t="s">
        <v>34</v>
      </c>
      <c r="M1" s="3" t="s">
        <v>12</v>
      </c>
      <c r="N1" s="3" t="s">
        <v>13</v>
      </c>
    </row>
    <row r="2" spans="1:14" x14ac:dyDescent="0.35">
      <c r="A2">
        <v>0</v>
      </c>
      <c r="B2">
        <v>4</v>
      </c>
      <c r="C2">
        <f>B2/1000</f>
        <v>4.0000000000000001E-3</v>
      </c>
      <c r="D2">
        <f>LN(C2)</f>
        <v>-5.521460917862246</v>
      </c>
      <c r="H2">
        <v>3.09</v>
      </c>
      <c r="I2">
        <v>0.01</v>
      </c>
      <c r="J2" s="5">
        <f>M$2 * H2</f>
        <v>3.0899999999999999E-8</v>
      </c>
      <c r="K2" s="5">
        <f>J2 * ((N$2/M$2)^2 + (I2/H2)^2)^(1/2)</f>
        <v>1.5482328636222653E-9</v>
      </c>
      <c r="M2" s="2">
        <v>1E-8</v>
      </c>
      <c r="N2" s="2">
        <v>5.0000000000000003E-10</v>
      </c>
    </row>
    <row r="3" spans="1:14" x14ac:dyDescent="0.35">
      <c r="A3">
        <v>1</v>
      </c>
      <c r="B3">
        <v>4</v>
      </c>
      <c r="C3">
        <f t="shared" ref="C3:C66" si="0">B3/1000</f>
        <v>4.0000000000000001E-3</v>
      </c>
      <c r="D3">
        <f t="shared" ref="D3:D66" si="1">LN(C3)</f>
        <v>-5.521460917862246</v>
      </c>
    </row>
    <row r="4" spans="1:14" x14ac:dyDescent="0.35">
      <c r="A4">
        <v>2</v>
      </c>
      <c r="B4">
        <v>4</v>
      </c>
      <c r="C4">
        <f t="shared" si="0"/>
        <v>4.0000000000000001E-3</v>
      </c>
      <c r="D4">
        <f t="shared" si="1"/>
        <v>-5.521460917862246</v>
      </c>
    </row>
    <row r="5" spans="1:14" x14ac:dyDescent="0.35">
      <c r="A5">
        <v>3</v>
      </c>
      <c r="B5">
        <v>4</v>
      </c>
      <c r="C5">
        <f t="shared" si="0"/>
        <v>4.0000000000000001E-3</v>
      </c>
      <c r="D5">
        <f t="shared" si="1"/>
        <v>-5.521460917862246</v>
      </c>
    </row>
    <row r="6" spans="1:14" x14ac:dyDescent="0.35">
      <c r="A6">
        <v>4</v>
      </c>
      <c r="B6">
        <v>4</v>
      </c>
      <c r="C6">
        <f t="shared" si="0"/>
        <v>4.0000000000000001E-3</v>
      </c>
      <c r="D6">
        <f t="shared" si="1"/>
        <v>-5.521460917862246</v>
      </c>
    </row>
    <row r="7" spans="1:14" x14ac:dyDescent="0.35">
      <c r="A7">
        <v>5</v>
      </c>
      <c r="B7">
        <v>3.9</v>
      </c>
      <c r="C7">
        <f t="shared" si="0"/>
        <v>3.8999999999999998E-3</v>
      </c>
      <c r="D7">
        <f t="shared" si="1"/>
        <v>-5.5467787258465364</v>
      </c>
    </row>
    <row r="8" spans="1:14" x14ac:dyDescent="0.35">
      <c r="A8">
        <v>6</v>
      </c>
      <c r="B8">
        <v>3.9</v>
      </c>
      <c r="C8">
        <f t="shared" si="0"/>
        <v>3.8999999999999998E-3</v>
      </c>
      <c r="D8">
        <f t="shared" si="1"/>
        <v>-5.5467787258465364</v>
      </c>
    </row>
    <row r="9" spans="1:14" x14ac:dyDescent="0.35">
      <c r="A9">
        <v>7</v>
      </c>
      <c r="B9">
        <v>4</v>
      </c>
      <c r="C9">
        <f t="shared" si="0"/>
        <v>4.0000000000000001E-3</v>
      </c>
      <c r="D9">
        <f t="shared" si="1"/>
        <v>-5.521460917862246</v>
      </c>
    </row>
    <row r="10" spans="1:14" x14ac:dyDescent="0.35">
      <c r="A10">
        <v>8</v>
      </c>
      <c r="B10">
        <v>3.9</v>
      </c>
      <c r="C10">
        <f t="shared" si="0"/>
        <v>3.8999999999999998E-3</v>
      </c>
      <c r="D10">
        <f t="shared" si="1"/>
        <v>-5.5467787258465364</v>
      </c>
    </row>
    <row r="11" spans="1:14" x14ac:dyDescent="0.35">
      <c r="A11">
        <v>9</v>
      </c>
      <c r="B11">
        <v>3.9</v>
      </c>
      <c r="C11">
        <f t="shared" si="0"/>
        <v>3.8999999999999998E-3</v>
      </c>
      <c r="D11">
        <f t="shared" si="1"/>
        <v>-5.5467787258465364</v>
      </c>
    </row>
    <row r="12" spans="1:14" x14ac:dyDescent="0.35">
      <c r="A12">
        <v>10</v>
      </c>
      <c r="B12">
        <v>3.9</v>
      </c>
      <c r="C12">
        <f t="shared" si="0"/>
        <v>3.8999999999999998E-3</v>
      </c>
      <c r="D12">
        <f t="shared" si="1"/>
        <v>-5.5467787258465364</v>
      </c>
    </row>
    <row r="13" spans="1:14" x14ac:dyDescent="0.35">
      <c r="A13">
        <v>11</v>
      </c>
      <c r="B13">
        <v>3.9</v>
      </c>
      <c r="C13">
        <f t="shared" si="0"/>
        <v>3.8999999999999998E-3</v>
      </c>
      <c r="D13">
        <f t="shared" si="1"/>
        <v>-5.5467787258465364</v>
      </c>
    </row>
    <row r="14" spans="1:14" x14ac:dyDescent="0.35">
      <c r="A14">
        <v>12</v>
      </c>
      <c r="B14">
        <v>4</v>
      </c>
      <c r="C14">
        <f t="shared" si="0"/>
        <v>4.0000000000000001E-3</v>
      </c>
      <c r="D14">
        <f t="shared" si="1"/>
        <v>-5.521460917862246</v>
      </c>
    </row>
    <row r="15" spans="1:14" x14ac:dyDescent="0.35">
      <c r="A15">
        <v>13</v>
      </c>
      <c r="B15">
        <v>3.9</v>
      </c>
      <c r="C15">
        <f t="shared" si="0"/>
        <v>3.8999999999999998E-3</v>
      </c>
      <c r="D15">
        <f t="shared" si="1"/>
        <v>-5.5467787258465364</v>
      </c>
    </row>
    <row r="16" spans="1:14" x14ac:dyDescent="0.35">
      <c r="A16">
        <v>14</v>
      </c>
      <c r="B16">
        <v>3.9</v>
      </c>
      <c r="C16">
        <f t="shared" si="0"/>
        <v>3.8999999999999998E-3</v>
      </c>
      <c r="D16">
        <f t="shared" si="1"/>
        <v>-5.5467787258465364</v>
      </c>
    </row>
    <row r="17" spans="1:15" x14ac:dyDescent="0.35">
      <c r="A17">
        <v>15</v>
      </c>
      <c r="B17">
        <v>3.9</v>
      </c>
      <c r="C17">
        <f t="shared" si="0"/>
        <v>3.8999999999999998E-3</v>
      </c>
      <c r="D17">
        <f t="shared" si="1"/>
        <v>-5.5467787258465364</v>
      </c>
    </row>
    <row r="18" spans="1:15" x14ac:dyDescent="0.35">
      <c r="A18">
        <v>16</v>
      </c>
      <c r="B18">
        <v>4</v>
      </c>
      <c r="C18">
        <f t="shared" si="0"/>
        <v>4.0000000000000001E-3</v>
      </c>
      <c r="D18">
        <f t="shared" si="1"/>
        <v>-5.521460917862246</v>
      </c>
    </row>
    <row r="19" spans="1:15" x14ac:dyDescent="0.35">
      <c r="A19">
        <v>17</v>
      </c>
      <c r="B19">
        <v>3.9</v>
      </c>
      <c r="C19">
        <f t="shared" si="0"/>
        <v>3.8999999999999998E-3</v>
      </c>
      <c r="D19">
        <f t="shared" si="1"/>
        <v>-5.5467787258465364</v>
      </c>
    </row>
    <row r="20" spans="1:15" x14ac:dyDescent="0.35">
      <c r="A20">
        <v>18</v>
      </c>
      <c r="B20">
        <v>3.9</v>
      </c>
      <c r="C20">
        <f t="shared" si="0"/>
        <v>3.8999999999999998E-3</v>
      </c>
      <c r="D20">
        <f t="shared" si="1"/>
        <v>-5.5467787258465364</v>
      </c>
    </row>
    <row r="21" spans="1:15" x14ac:dyDescent="0.35">
      <c r="A21">
        <v>19</v>
      </c>
      <c r="B21">
        <v>3.9</v>
      </c>
      <c r="C21">
        <f t="shared" si="0"/>
        <v>3.8999999999999998E-3</v>
      </c>
      <c r="D21">
        <f t="shared" si="1"/>
        <v>-5.5467787258465364</v>
      </c>
    </row>
    <row r="22" spans="1:15" x14ac:dyDescent="0.35">
      <c r="A22">
        <v>20</v>
      </c>
      <c r="B22">
        <v>3.9</v>
      </c>
      <c r="C22">
        <f t="shared" si="0"/>
        <v>3.8999999999999998E-3</v>
      </c>
      <c r="D22">
        <f t="shared" si="1"/>
        <v>-5.5467787258465364</v>
      </c>
      <c r="N22" t="s">
        <v>15</v>
      </c>
      <c r="O22" t="s">
        <v>16</v>
      </c>
    </row>
    <row r="23" spans="1:15" x14ac:dyDescent="0.35">
      <c r="A23">
        <v>21</v>
      </c>
      <c r="B23">
        <v>3.9</v>
      </c>
      <c r="C23">
        <f t="shared" si="0"/>
        <v>3.8999999999999998E-3</v>
      </c>
      <c r="D23">
        <f t="shared" si="1"/>
        <v>-5.5467787258465364</v>
      </c>
      <c r="M23" t="s">
        <v>18</v>
      </c>
      <c r="N23">
        <f t="array" ref="N23:O24">LINEST(D2:D301,A2:A301,1,1)</f>
        <v>-8.3802431067398766E-4</v>
      </c>
      <c r="O23">
        <v>-5.5560374485072295</v>
      </c>
    </row>
    <row r="24" spans="1:15" x14ac:dyDescent="0.35">
      <c r="A24">
        <v>22</v>
      </c>
      <c r="B24">
        <v>3.8</v>
      </c>
      <c r="C24">
        <f t="shared" si="0"/>
        <v>3.8E-3</v>
      </c>
      <c r="D24">
        <f t="shared" si="1"/>
        <v>-5.5727542122497971</v>
      </c>
      <c r="M24" t="s">
        <v>13</v>
      </c>
      <c r="N24">
        <v>1.4842603910371742E-5</v>
      </c>
      <c r="O24">
        <v>2.5643864780348384E-3</v>
      </c>
    </row>
    <row r="25" spans="1:15" x14ac:dyDescent="0.35">
      <c r="A25">
        <v>23</v>
      </c>
      <c r="B25">
        <v>3.8</v>
      </c>
      <c r="C25">
        <f t="shared" si="0"/>
        <v>3.8E-3</v>
      </c>
      <c r="D25">
        <f t="shared" si="1"/>
        <v>-5.5727542122497971</v>
      </c>
    </row>
    <row r="26" spans="1:15" x14ac:dyDescent="0.35">
      <c r="A26">
        <v>24</v>
      </c>
      <c r="B26">
        <v>3.8</v>
      </c>
      <c r="C26">
        <f t="shared" si="0"/>
        <v>3.8E-3</v>
      </c>
      <c r="D26">
        <f t="shared" si="1"/>
        <v>-5.5727542122497971</v>
      </c>
    </row>
    <row r="27" spans="1:15" x14ac:dyDescent="0.35">
      <c r="A27">
        <v>25</v>
      </c>
      <c r="B27">
        <v>3.9</v>
      </c>
      <c r="C27">
        <f t="shared" si="0"/>
        <v>3.8999999999999998E-3</v>
      </c>
      <c r="D27">
        <f t="shared" si="1"/>
        <v>-5.5467787258465364</v>
      </c>
    </row>
    <row r="28" spans="1:15" x14ac:dyDescent="0.35">
      <c r="A28">
        <v>26</v>
      </c>
      <c r="B28">
        <v>3.8</v>
      </c>
      <c r="C28">
        <f t="shared" si="0"/>
        <v>3.8E-3</v>
      </c>
      <c r="D28">
        <f t="shared" si="1"/>
        <v>-5.5727542122497971</v>
      </c>
    </row>
    <row r="29" spans="1:15" x14ac:dyDescent="0.35">
      <c r="A29">
        <v>27</v>
      </c>
      <c r="B29">
        <v>3.8</v>
      </c>
      <c r="C29">
        <f t="shared" si="0"/>
        <v>3.8E-3</v>
      </c>
      <c r="D29">
        <f t="shared" si="1"/>
        <v>-5.5727542122497971</v>
      </c>
    </row>
    <row r="30" spans="1:15" x14ac:dyDescent="0.35">
      <c r="A30">
        <v>28</v>
      </c>
      <c r="B30">
        <v>3.9</v>
      </c>
      <c r="C30">
        <f t="shared" si="0"/>
        <v>3.8999999999999998E-3</v>
      </c>
      <c r="D30">
        <f t="shared" si="1"/>
        <v>-5.5467787258465364</v>
      </c>
    </row>
    <row r="31" spans="1:15" x14ac:dyDescent="0.35">
      <c r="A31">
        <v>29</v>
      </c>
      <c r="B31">
        <v>3.9</v>
      </c>
      <c r="C31">
        <f t="shared" si="0"/>
        <v>3.8999999999999998E-3</v>
      </c>
      <c r="D31">
        <f t="shared" si="1"/>
        <v>-5.5467787258465364</v>
      </c>
    </row>
    <row r="32" spans="1:15" x14ac:dyDescent="0.35">
      <c r="A32">
        <v>30</v>
      </c>
      <c r="B32">
        <v>3.9</v>
      </c>
      <c r="C32">
        <f t="shared" si="0"/>
        <v>3.8999999999999998E-3</v>
      </c>
      <c r="D32">
        <f t="shared" si="1"/>
        <v>-5.5467787258465364</v>
      </c>
    </row>
    <row r="33" spans="1:4" x14ac:dyDescent="0.35">
      <c r="A33">
        <v>31</v>
      </c>
      <c r="B33">
        <v>3.9</v>
      </c>
      <c r="C33">
        <f t="shared" si="0"/>
        <v>3.8999999999999998E-3</v>
      </c>
      <c r="D33">
        <f t="shared" si="1"/>
        <v>-5.5467787258465364</v>
      </c>
    </row>
    <row r="34" spans="1:4" x14ac:dyDescent="0.35">
      <c r="A34">
        <v>32</v>
      </c>
      <c r="B34">
        <v>3.9</v>
      </c>
      <c r="C34">
        <f t="shared" si="0"/>
        <v>3.8999999999999998E-3</v>
      </c>
      <c r="D34">
        <f t="shared" si="1"/>
        <v>-5.5467787258465364</v>
      </c>
    </row>
    <row r="35" spans="1:4" x14ac:dyDescent="0.35">
      <c r="A35">
        <v>33</v>
      </c>
      <c r="B35">
        <v>3.9</v>
      </c>
      <c r="C35">
        <f t="shared" si="0"/>
        <v>3.8999999999999998E-3</v>
      </c>
      <c r="D35">
        <f t="shared" si="1"/>
        <v>-5.5467787258465364</v>
      </c>
    </row>
    <row r="36" spans="1:4" x14ac:dyDescent="0.35">
      <c r="A36">
        <v>34</v>
      </c>
      <c r="B36">
        <v>3.9</v>
      </c>
      <c r="C36">
        <f t="shared" si="0"/>
        <v>3.8999999999999998E-3</v>
      </c>
      <c r="D36">
        <f t="shared" si="1"/>
        <v>-5.5467787258465364</v>
      </c>
    </row>
    <row r="37" spans="1:4" x14ac:dyDescent="0.35">
      <c r="A37">
        <v>35</v>
      </c>
      <c r="B37">
        <v>3.9</v>
      </c>
      <c r="C37">
        <f t="shared" si="0"/>
        <v>3.8999999999999998E-3</v>
      </c>
      <c r="D37">
        <f t="shared" si="1"/>
        <v>-5.5467787258465364</v>
      </c>
    </row>
    <row r="38" spans="1:4" x14ac:dyDescent="0.35">
      <c r="A38">
        <v>36</v>
      </c>
      <c r="B38">
        <v>3.8</v>
      </c>
      <c r="C38">
        <f t="shared" si="0"/>
        <v>3.8E-3</v>
      </c>
      <c r="D38">
        <f t="shared" si="1"/>
        <v>-5.5727542122497971</v>
      </c>
    </row>
    <row r="39" spans="1:4" x14ac:dyDescent="0.35">
      <c r="A39">
        <v>37</v>
      </c>
      <c r="B39">
        <v>3.8</v>
      </c>
      <c r="C39">
        <f t="shared" si="0"/>
        <v>3.8E-3</v>
      </c>
      <c r="D39">
        <f t="shared" si="1"/>
        <v>-5.5727542122497971</v>
      </c>
    </row>
    <row r="40" spans="1:4" x14ac:dyDescent="0.35">
      <c r="A40">
        <v>38</v>
      </c>
      <c r="B40">
        <v>3.8</v>
      </c>
      <c r="C40">
        <f t="shared" si="0"/>
        <v>3.8E-3</v>
      </c>
      <c r="D40">
        <f t="shared" si="1"/>
        <v>-5.5727542122497971</v>
      </c>
    </row>
    <row r="41" spans="1:4" x14ac:dyDescent="0.35">
      <c r="A41">
        <v>39</v>
      </c>
      <c r="B41">
        <v>3.8</v>
      </c>
      <c r="C41">
        <f t="shared" si="0"/>
        <v>3.8E-3</v>
      </c>
      <c r="D41">
        <f t="shared" si="1"/>
        <v>-5.5727542122497971</v>
      </c>
    </row>
    <row r="42" spans="1:4" x14ac:dyDescent="0.35">
      <c r="A42">
        <v>40</v>
      </c>
      <c r="B42">
        <v>3.8</v>
      </c>
      <c r="C42">
        <f t="shared" si="0"/>
        <v>3.8E-3</v>
      </c>
      <c r="D42">
        <f t="shared" si="1"/>
        <v>-5.5727542122497971</v>
      </c>
    </row>
    <row r="43" spans="1:4" x14ac:dyDescent="0.35">
      <c r="A43">
        <v>41</v>
      </c>
      <c r="B43">
        <v>3.8</v>
      </c>
      <c r="C43">
        <f t="shared" si="0"/>
        <v>3.8E-3</v>
      </c>
      <c r="D43">
        <f t="shared" si="1"/>
        <v>-5.5727542122497971</v>
      </c>
    </row>
    <row r="44" spans="1:4" x14ac:dyDescent="0.35">
      <c r="A44">
        <v>42</v>
      </c>
      <c r="B44">
        <v>3.8</v>
      </c>
      <c r="C44">
        <f t="shared" si="0"/>
        <v>3.8E-3</v>
      </c>
      <c r="D44">
        <f t="shared" si="1"/>
        <v>-5.5727542122497971</v>
      </c>
    </row>
    <row r="45" spans="1:4" x14ac:dyDescent="0.35">
      <c r="A45">
        <v>43</v>
      </c>
      <c r="B45">
        <v>3.8</v>
      </c>
      <c r="C45">
        <f t="shared" si="0"/>
        <v>3.8E-3</v>
      </c>
      <c r="D45">
        <f t="shared" si="1"/>
        <v>-5.5727542122497971</v>
      </c>
    </row>
    <row r="46" spans="1:4" x14ac:dyDescent="0.35">
      <c r="A46">
        <v>44</v>
      </c>
      <c r="B46">
        <v>3.8</v>
      </c>
      <c r="C46">
        <f t="shared" si="0"/>
        <v>3.8E-3</v>
      </c>
      <c r="D46">
        <f t="shared" si="1"/>
        <v>-5.5727542122497971</v>
      </c>
    </row>
    <row r="47" spans="1:4" x14ac:dyDescent="0.35">
      <c r="A47">
        <v>45</v>
      </c>
      <c r="B47">
        <v>3.7</v>
      </c>
      <c r="C47">
        <f t="shared" si="0"/>
        <v>3.7000000000000002E-3</v>
      </c>
      <c r="D47">
        <f t="shared" si="1"/>
        <v>-5.5994224593319579</v>
      </c>
    </row>
    <row r="48" spans="1:4" x14ac:dyDescent="0.35">
      <c r="A48">
        <v>46</v>
      </c>
      <c r="B48">
        <v>3.8</v>
      </c>
      <c r="C48">
        <f t="shared" si="0"/>
        <v>3.8E-3</v>
      </c>
      <c r="D48">
        <f t="shared" si="1"/>
        <v>-5.5727542122497971</v>
      </c>
    </row>
    <row r="49" spans="1:4" x14ac:dyDescent="0.35">
      <c r="A49">
        <v>47</v>
      </c>
      <c r="B49">
        <v>3.7</v>
      </c>
      <c r="C49">
        <f t="shared" si="0"/>
        <v>3.7000000000000002E-3</v>
      </c>
      <c r="D49">
        <f t="shared" si="1"/>
        <v>-5.5994224593319579</v>
      </c>
    </row>
    <row r="50" spans="1:4" x14ac:dyDescent="0.35">
      <c r="A50">
        <v>48</v>
      </c>
      <c r="B50">
        <v>3.7</v>
      </c>
      <c r="C50">
        <f t="shared" si="0"/>
        <v>3.7000000000000002E-3</v>
      </c>
      <c r="D50">
        <f t="shared" si="1"/>
        <v>-5.5994224593319579</v>
      </c>
    </row>
    <row r="51" spans="1:4" x14ac:dyDescent="0.35">
      <c r="A51">
        <v>49</v>
      </c>
      <c r="B51">
        <v>3.8</v>
      </c>
      <c r="C51">
        <f t="shared" si="0"/>
        <v>3.8E-3</v>
      </c>
      <c r="D51">
        <f t="shared" si="1"/>
        <v>-5.5727542122497971</v>
      </c>
    </row>
    <row r="52" spans="1:4" x14ac:dyDescent="0.35">
      <c r="A52">
        <v>50</v>
      </c>
      <c r="B52">
        <v>3.7</v>
      </c>
      <c r="C52">
        <f t="shared" si="0"/>
        <v>3.7000000000000002E-3</v>
      </c>
      <c r="D52">
        <f t="shared" si="1"/>
        <v>-5.5994224593319579</v>
      </c>
    </row>
    <row r="53" spans="1:4" x14ac:dyDescent="0.35">
      <c r="A53">
        <v>51</v>
      </c>
      <c r="B53">
        <v>3.7</v>
      </c>
      <c r="C53">
        <f t="shared" si="0"/>
        <v>3.7000000000000002E-3</v>
      </c>
      <c r="D53">
        <f t="shared" si="1"/>
        <v>-5.5994224593319579</v>
      </c>
    </row>
    <row r="54" spans="1:4" x14ac:dyDescent="0.35">
      <c r="A54">
        <v>52</v>
      </c>
      <c r="B54">
        <v>3.7</v>
      </c>
      <c r="C54">
        <f t="shared" si="0"/>
        <v>3.7000000000000002E-3</v>
      </c>
      <c r="D54">
        <f t="shared" si="1"/>
        <v>-5.5994224593319579</v>
      </c>
    </row>
    <row r="55" spans="1:4" x14ac:dyDescent="0.35">
      <c r="A55">
        <v>53</v>
      </c>
      <c r="B55">
        <v>3.7</v>
      </c>
      <c r="C55">
        <f t="shared" si="0"/>
        <v>3.7000000000000002E-3</v>
      </c>
      <c r="D55">
        <f t="shared" si="1"/>
        <v>-5.5994224593319579</v>
      </c>
    </row>
    <row r="56" spans="1:4" x14ac:dyDescent="0.35">
      <c r="A56">
        <v>54</v>
      </c>
      <c r="B56">
        <v>3.7</v>
      </c>
      <c r="C56">
        <f t="shared" si="0"/>
        <v>3.7000000000000002E-3</v>
      </c>
      <c r="D56">
        <f t="shared" si="1"/>
        <v>-5.5994224593319579</v>
      </c>
    </row>
    <row r="57" spans="1:4" x14ac:dyDescent="0.35">
      <c r="A57">
        <v>55</v>
      </c>
      <c r="B57">
        <v>3.7</v>
      </c>
      <c r="C57">
        <f t="shared" si="0"/>
        <v>3.7000000000000002E-3</v>
      </c>
      <c r="D57">
        <f t="shared" si="1"/>
        <v>-5.5994224593319579</v>
      </c>
    </row>
    <row r="58" spans="1:4" x14ac:dyDescent="0.35">
      <c r="A58">
        <v>56</v>
      </c>
      <c r="B58">
        <v>3.7</v>
      </c>
      <c r="C58">
        <f t="shared" si="0"/>
        <v>3.7000000000000002E-3</v>
      </c>
      <c r="D58">
        <f t="shared" si="1"/>
        <v>-5.5994224593319579</v>
      </c>
    </row>
    <row r="59" spans="1:4" x14ac:dyDescent="0.35">
      <c r="A59">
        <v>57</v>
      </c>
      <c r="B59">
        <v>3.7</v>
      </c>
      <c r="C59">
        <f t="shared" si="0"/>
        <v>3.7000000000000002E-3</v>
      </c>
      <c r="D59">
        <f t="shared" si="1"/>
        <v>-5.5994224593319579</v>
      </c>
    </row>
    <row r="60" spans="1:4" x14ac:dyDescent="0.35">
      <c r="A60">
        <v>58</v>
      </c>
      <c r="B60">
        <v>3.7</v>
      </c>
      <c r="C60">
        <f t="shared" si="0"/>
        <v>3.7000000000000002E-3</v>
      </c>
      <c r="D60">
        <f t="shared" si="1"/>
        <v>-5.5994224593319579</v>
      </c>
    </row>
    <row r="61" spans="1:4" x14ac:dyDescent="0.35">
      <c r="A61">
        <v>59</v>
      </c>
      <c r="B61">
        <v>3.7</v>
      </c>
      <c r="C61">
        <f t="shared" si="0"/>
        <v>3.7000000000000002E-3</v>
      </c>
      <c r="D61">
        <f t="shared" si="1"/>
        <v>-5.5994224593319579</v>
      </c>
    </row>
    <row r="62" spans="1:4" x14ac:dyDescent="0.35">
      <c r="A62">
        <v>60</v>
      </c>
      <c r="B62">
        <v>3.7</v>
      </c>
      <c r="C62">
        <f t="shared" si="0"/>
        <v>3.7000000000000002E-3</v>
      </c>
      <c r="D62">
        <f t="shared" si="1"/>
        <v>-5.5994224593319579</v>
      </c>
    </row>
    <row r="63" spans="1:4" x14ac:dyDescent="0.35">
      <c r="A63">
        <v>61</v>
      </c>
      <c r="B63">
        <v>3.6</v>
      </c>
      <c r="C63">
        <f t="shared" si="0"/>
        <v>3.5999999999999999E-3</v>
      </c>
      <c r="D63">
        <f t="shared" si="1"/>
        <v>-5.6268214335200728</v>
      </c>
    </row>
    <row r="64" spans="1:4" x14ac:dyDescent="0.35">
      <c r="A64">
        <v>62</v>
      </c>
      <c r="B64">
        <v>3.7</v>
      </c>
      <c r="C64">
        <f t="shared" si="0"/>
        <v>3.7000000000000002E-3</v>
      </c>
      <c r="D64">
        <f t="shared" si="1"/>
        <v>-5.5994224593319579</v>
      </c>
    </row>
    <row r="65" spans="1:4" x14ac:dyDescent="0.35">
      <c r="A65">
        <v>63</v>
      </c>
      <c r="B65">
        <v>3.7</v>
      </c>
      <c r="C65">
        <f t="shared" si="0"/>
        <v>3.7000000000000002E-3</v>
      </c>
      <c r="D65">
        <f t="shared" si="1"/>
        <v>-5.5994224593319579</v>
      </c>
    </row>
    <row r="66" spans="1:4" x14ac:dyDescent="0.35">
      <c r="A66">
        <v>64</v>
      </c>
      <c r="B66">
        <v>3.7</v>
      </c>
      <c r="C66">
        <f t="shared" si="0"/>
        <v>3.7000000000000002E-3</v>
      </c>
      <c r="D66">
        <f t="shared" si="1"/>
        <v>-5.5994224593319579</v>
      </c>
    </row>
    <row r="67" spans="1:4" x14ac:dyDescent="0.35">
      <c r="A67">
        <v>65</v>
      </c>
      <c r="B67">
        <v>3.6</v>
      </c>
      <c r="C67">
        <f t="shared" ref="C67:C130" si="2">B67/1000</f>
        <v>3.5999999999999999E-3</v>
      </c>
      <c r="D67">
        <f t="shared" ref="D67:D130" si="3">LN(C67)</f>
        <v>-5.6268214335200728</v>
      </c>
    </row>
    <row r="68" spans="1:4" x14ac:dyDescent="0.35">
      <c r="A68">
        <v>66</v>
      </c>
      <c r="B68">
        <v>3.7</v>
      </c>
      <c r="C68">
        <f t="shared" si="2"/>
        <v>3.7000000000000002E-3</v>
      </c>
      <c r="D68">
        <f t="shared" si="3"/>
        <v>-5.5994224593319579</v>
      </c>
    </row>
    <row r="69" spans="1:4" x14ac:dyDescent="0.35">
      <c r="A69">
        <v>67</v>
      </c>
      <c r="B69">
        <v>3.6</v>
      </c>
      <c r="C69">
        <f t="shared" si="2"/>
        <v>3.5999999999999999E-3</v>
      </c>
      <c r="D69">
        <f t="shared" si="3"/>
        <v>-5.6268214335200728</v>
      </c>
    </row>
    <row r="70" spans="1:4" x14ac:dyDescent="0.35">
      <c r="A70">
        <v>68</v>
      </c>
      <c r="B70">
        <v>3.6</v>
      </c>
      <c r="C70">
        <f t="shared" si="2"/>
        <v>3.5999999999999999E-3</v>
      </c>
      <c r="D70">
        <f t="shared" si="3"/>
        <v>-5.6268214335200728</v>
      </c>
    </row>
    <row r="71" spans="1:4" x14ac:dyDescent="0.35">
      <c r="A71">
        <v>69</v>
      </c>
      <c r="B71">
        <v>3.6</v>
      </c>
      <c r="C71">
        <f t="shared" si="2"/>
        <v>3.5999999999999999E-3</v>
      </c>
      <c r="D71">
        <f t="shared" si="3"/>
        <v>-5.6268214335200728</v>
      </c>
    </row>
    <row r="72" spans="1:4" x14ac:dyDescent="0.35">
      <c r="A72">
        <v>70</v>
      </c>
      <c r="B72">
        <v>3.6</v>
      </c>
      <c r="C72">
        <f t="shared" si="2"/>
        <v>3.5999999999999999E-3</v>
      </c>
      <c r="D72">
        <f t="shared" si="3"/>
        <v>-5.6268214335200728</v>
      </c>
    </row>
    <row r="73" spans="1:4" x14ac:dyDescent="0.35">
      <c r="A73">
        <v>71</v>
      </c>
      <c r="B73">
        <v>3.6</v>
      </c>
      <c r="C73">
        <f t="shared" si="2"/>
        <v>3.5999999999999999E-3</v>
      </c>
      <c r="D73">
        <f t="shared" si="3"/>
        <v>-5.6268214335200728</v>
      </c>
    </row>
    <row r="74" spans="1:4" x14ac:dyDescent="0.35">
      <c r="A74">
        <v>72</v>
      </c>
      <c r="B74">
        <v>3.6</v>
      </c>
      <c r="C74">
        <f t="shared" si="2"/>
        <v>3.5999999999999999E-3</v>
      </c>
      <c r="D74">
        <f t="shared" si="3"/>
        <v>-5.6268214335200728</v>
      </c>
    </row>
    <row r="75" spans="1:4" x14ac:dyDescent="0.35">
      <c r="A75">
        <v>73</v>
      </c>
      <c r="B75">
        <v>3.6</v>
      </c>
      <c r="C75">
        <f t="shared" si="2"/>
        <v>3.5999999999999999E-3</v>
      </c>
      <c r="D75">
        <f t="shared" si="3"/>
        <v>-5.6268214335200728</v>
      </c>
    </row>
    <row r="76" spans="1:4" x14ac:dyDescent="0.35">
      <c r="A76">
        <v>74</v>
      </c>
      <c r="B76">
        <v>3.6</v>
      </c>
      <c r="C76">
        <f t="shared" si="2"/>
        <v>3.5999999999999999E-3</v>
      </c>
      <c r="D76">
        <f t="shared" si="3"/>
        <v>-5.6268214335200728</v>
      </c>
    </row>
    <row r="77" spans="1:4" x14ac:dyDescent="0.35">
      <c r="A77">
        <v>75</v>
      </c>
      <c r="B77">
        <v>3.6</v>
      </c>
      <c r="C77">
        <f t="shared" si="2"/>
        <v>3.5999999999999999E-3</v>
      </c>
      <c r="D77">
        <f t="shared" si="3"/>
        <v>-5.6268214335200728</v>
      </c>
    </row>
    <row r="78" spans="1:4" x14ac:dyDescent="0.35">
      <c r="A78">
        <v>76</v>
      </c>
      <c r="B78">
        <v>3.6</v>
      </c>
      <c r="C78">
        <f t="shared" si="2"/>
        <v>3.5999999999999999E-3</v>
      </c>
      <c r="D78">
        <f t="shared" si="3"/>
        <v>-5.6268214335200728</v>
      </c>
    </row>
    <row r="79" spans="1:4" x14ac:dyDescent="0.35">
      <c r="A79">
        <v>77</v>
      </c>
      <c r="B79">
        <v>3.6</v>
      </c>
      <c r="C79">
        <f t="shared" si="2"/>
        <v>3.5999999999999999E-3</v>
      </c>
      <c r="D79">
        <f t="shared" si="3"/>
        <v>-5.6268214335200728</v>
      </c>
    </row>
    <row r="80" spans="1:4" x14ac:dyDescent="0.35">
      <c r="A80">
        <v>78</v>
      </c>
      <c r="B80">
        <v>3.6</v>
      </c>
      <c r="C80">
        <f t="shared" si="2"/>
        <v>3.5999999999999999E-3</v>
      </c>
      <c r="D80">
        <f t="shared" si="3"/>
        <v>-5.6268214335200728</v>
      </c>
    </row>
    <row r="81" spans="1:4" x14ac:dyDescent="0.35">
      <c r="A81">
        <v>79</v>
      </c>
      <c r="B81">
        <v>3.6</v>
      </c>
      <c r="C81">
        <f t="shared" si="2"/>
        <v>3.5999999999999999E-3</v>
      </c>
      <c r="D81">
        <f t="shared" si="3"/>
        <v>-5.6268214335200728</v>
      </c>
    </row>
    <row r="82" spans="1:4" x14ac:dyDescent="0.35">
      <c r="A82">
        <v>80</v>
      </c>
      <c r="B82">
        <v>3.5</v>
      </c>
      <c r="C82">
        <f t="shared" si="2"/>
        <v>3.5000000000000001E-3</v>
      </c>
      <c r="D82">
        <f t="shared" si="3"/>
        <v>-5.6549923104867688</v>
      </c>
    </row>
    <row r="83" spans="1:4" x14ac:dyDescent="0.35">
      <c r="A83">
        <v>81</v>
      </c>
      <c r="B83">
        <v>3.5</v>
      </c>
      <c r="C83">
        <f t="shared" si="2"/>
        <v>3.5000000000000001E-3</v>
      </c>
      <c r="D83">
        <f t="shared" si="3"/>
        <v>-5.6549923104867688</v>
      </c>
    </row>
    <row r="84" spans="1:4" x14ac:dyDescent="0.35">
      <c r="A84">
        <v>82</v>
      </c>
      <c r="B84">
        <v>3.6</v>
      </c>
      <c r="C84">
        <f t="shared" si="2"/>
        <v>3.5999999999999999E-3</v>
      </c>
      <c r="D84">
        <f t="shared" si="3"/>
        <v>-5.6268214335200728</v>
      </c>
    </row>
    <row r="85" spans="1:4" x14ac:dyDescent="0.35">
      <c r="A85">
        <v>83</v>
      </c>
      <c r="B85">
        <v>3.6</v>
      </c>
      <c r="C85">
        <f t="shared" si="2"/>
        <v>3.5999999999999999E-3</v>
      </c>
      <c r="D85">
        <f t="shared" si="3"/>
        <v>-5.6268214335200728</v>
      </c>
    </row>
    <row r="86" spans="1:4" x14ac:dyDescent="0.35">
      <c r="A86">
        <v>84</v>
      </c>
      <c r="B86">
        <v>3.5</v>
      </c>
      <c r="C86">
        <f t="shared" si="2"/>
        <v>3.5000000000000001E-3</v>
      </c>
      <c r="D86">
        <f t="shared" si="3"/>
        <v>-5.6549923104867688</v>
      </c>
    </row>
    <row r="87" spans="1:4" x14ac:dyDescent="0.35">
      <c r="A87">
        <v>85</v>
      </c>
      <c r="B87">
        <v>3.5</v>
      </c>
      <c r="C87">
        <f t="shared" si="2"/>
        <v>3.5000000000000001E-3</v>
      </c>
      <c r="D87">
        <f t="shared" si="3"/>
        <v>-5.6549923104867688</v>
      </c>
    </row>
    <row r="88" spans="1:4" x14ac:dyDescent="0.35">
      <c r="A88">
        <v>86</v>
      </c>
      <c r="B88">
        <v>3.5</v>
      </c>
      <c r="C88">
        <f t="shared" si="2"/>
        <v>3.5000000000000001E-3</v>
      </c>
      <c r="D88">
        <f t="shared" si="3"/>
        <v>-5.6549923104867688</v>
      </c>
    </row>
    <row r="89" spans="1:4" x14ac:dyDescent="0.35">
      <c r="A89">
        <v>87</v>
      </c>
      <c r="B89">
        <v>3.6</v>
      </c>
      <c r="C89">
        <f t="shared" si="2"/>
        <v>3.5999999999999999E-3</v>
      </c>
      <c r="D89">
        <f t="shared" si="3"/>
        <v>-5.6268214335200728</v>
      </c>
    </row>
    <row r="90" spans="1:4" x14ac:dyDescent="0.35">
      <c r="A90">
        <v>88</v>
      </c>
      <c r="B90">
        <v>3.5</v>
      </c>
      <c r="C90">
        <f t="shared" si="2"/>
        <v>3.5000000000000001E-3</v>
      </c>
      <c r="D90">
        <f t="shared" si="3"/>
        <v>-5.6549923104867688</v>
      </c>
    </row>
    <row r="91" spans="1:4" x14ac:dyDescent="0.35">
      <c r="A91">
        <v>89</v>
      </c>
      <c r="B91">
        <v>3.5</v>
      </c>
      <c r="C91">
        <f t="shared" si="2"/>
        <v>3.5000000000000001E-3</v>
      </c>
      <c r="D91">
        <f t="shared" si="3"/>
        <v>-5.6549923104867688</v>
      </c>
    </row>
    <row r="92" spans="1:4" x14ac:dyDescent="0.35">
      <c r="A92">
        <v>90</v>
      </c>
      <c r="B92">
        <v>3.5</v>
      </c>
      <c r="C92">
        <f t="shared" si="2"/>
        <v>3.5000000000000001E-3</v>
      </c>
      <c r="D92">
        <f t="shared" si="3"/>
        <v>-5.6549923104867688</v>
      </c>
    </row>
    <row r="93" spans="1:4" x14ac:dyDescent="0.35">
      <c r="A93">
        <v>91</v>
      </c>
      <c r="B93">
        <v>3.5</v>
      </c>
      <c r="C93">
        <f t="shared" si="2"/>
        <v>3.5000000000000001E-3</v>
      </c>
      <c r="D93">
        <f t="shared" si="3"/>
        <v>-5.6549923104867688</v>
      </c>
    </row>
    <row r="94" spans="1:4" x14ac:dyDescent="0.35">
      <c r="A94">
        <v>92</v>
      </c>
      <c r="B94">
        <v>3.5</v>
      </c>
      <c r="C94">
        <f t="shared" si="2"/>
        <v>3.5000000000000001E-3</v>
      </c>
      <c r="D94">
        <f t="shared" si="3"/>
        <v>-5.6549923104867688</v>
      </c>
    </row>
    <row r="95" spans="1:4" x14ac:dyDescent="0.35">
      <c r="A95">
        <v>93</v>
      </c>
      <c r="B95">
        <v>3.5</v>
      </c>
      <c r="C95">
        <f t="shared" si="2"/>
        <v>3.5000000000000001E-3</v>
      </c>
      <c r="D95">
        <f t="shared" si="3"/>
        <v>-5.6549923104867688</v>
      </c>
    </row>
    <row r="96" spans="1:4" x14ac:dyDescent="0.35">
      <c r="A96">
        <v>94</v>
      </c>
      <c r="B96">
        <v>3.6</v>
      </c>
      <c r="C96">
        <f t="shared" si="2"/>
        <v>3.5999999999999999E-3</v>
      </c>
      <c r="D96">
        <f t="shared" si="3"/>
        <v>-5.6268214335200728</v>
      </c>
    </row>
    <row r="97" spans="1:4" x14ac:dyDescent="0.35">
      <c r="A97">
        <v>95</v>
      </c>
      <c r="B97">
        <v>3.6</v>
      </c>
      <c r="C97">
        <f t="shared" si="2"/>
        <v>3.5999999999999999E-3</v>
      </c>
      <c r="D97">
        <f t="shared" si="3"/>
        <v>-5.6268214335200728</v>
      </c>
    </row>
    <row r="98" spans="1:4" x14ac:dyDescent="0.35">
      <c r="A98">
        <v>96</v>
      </c>
      <c r="B98">
        <v>3.6</v>
      </c>
      <c r="C98">
        <f t="shared" si="2"/>
        <v>3.5999999999999999E-3</v>
      </c>
      <c r="D98">
        <f t="shared" si="3"/>
        <v>-5.6268214335200728</v>
      </c>
    </row>
    <row r="99" spans="1:4" x14ac:dyDescent="0.35">
      <c r="A99">
        <v>97</v>
      </c>
      <c r="B99">
        <v>3.5</v>
      </c>
      <c r="C99">
        <f t="shared" si="2"/>
        <v>3.5000000000000001E-3</v>
      </c>
      <c r="D99">
        <f t="shared" si="3"/>
        <v>-5.6549923104867688</v>
      </c>
    </row>
    <row r="100" spans="1:4" x14ac:dyDescent="0.35">
      <c r="A100">
        <v>98</v>
      </c>
      <c r="B100">
        <v>3.6</v>
      </c>
      <c r="C100">
        <f t="shared" si="2"/>
        <v>3.5999999999999999E-3</v>
      </c>
      <c r="D100">
        <f t="shared" si="3"/>
        <v>-5.6268214335200728</v>
      </c>
    </row>
    <row r="101" spans="1:4" x14ac:dyDescent="0.35">
      <c r="A101">
        <v>99</v>
      </c>
      <c r="B101">
        <v>3.6</v>
      </c>
      <c r="C101">
        <f t="shared" si="2"/>
        <v>3.5999999999999999E-3</v>
      </c>
      <c r="D101">
        <f t="shared" si="3"/>
        <v>-5.6268214335200728</v>
      </c>
    </row>
    <row r="102" spans="1:4" x14ac:dyDescent="0.35">
      <c r="A102">
        <v>100</v>
      </c>
      <c r="B102">
        <v>3.5</v>
      </c>
      <c r="C102">
        <f t="shared" si="2"/>
        <v>3.5000000000000001E-3</v>
      </c>
      <c r="D102">
        <f t="shared" si="3"/>
        <v>-5.6549923104867688</v>
      </c>
    </row>
    <row r="103" spans="1:4" x14ac:dyDescent="0.35">
      <c r="A103">
        <v>101</v>
      </c>
      <c r="B103">
        <v>3.5</v>
      </c>
      <c r="C103">
        <f t="shared" si="2"/>
        <v>3.5000000000000001E-3</v>
      </c>
      <c r="D103">
        <f t="shared" si="3"/>
        <v>-5.6549923104867688</v>
      </c>
    </row>
    <row r="104" spans="1:4" x14ac:dyDescent="0.35">
      <c r="A104">
        <v>102</v>
      </c>
      <c r="B104">
        <v>3.6</v>
      </c>
      <c r="C104">
        <f t="shared" si="2"/>
        <v>3.5999999999999999E-3</v>
      </c>
      <c r="D104">
        <f t="shared" si="3"/>
        <v>-5.6268214335200728</v>
      </c>
    </row>
    <row r="105" spans="1:4" x14ac:dyDescent="0.35">
      <c r="A105">
        <v>103</v>
      </c>
      <c r="B105">
        <v>3.6</v>
      </c>
      <c r="C105">
        <f t="shared" si="2"/>
        <v>3.5999999999999999E-3</v>
      </c>
      <c r="D105">
        <f t="shared" si="3"/>
        <v>-5.6268214335200728</v>
      </c>
    </row>
    <row r="106" spans="1:4" x14ac:dyDescent="0.35">
      <c r="A106">
        <v>104</v>
      </c>
      <c r="B106">
        <v>3.5</v>
      </c>
      <c r="C106">
        <f t="shared" si="2"/>
        <v>3.5000000000000001E-3</v>
      </c>
      <c r="D106">
        <f t="shared" si="3"/>
        <v>-5.6549923104867688</v>
      </c>
    </row>
    <row r="107" spans="1:4" x14ac:dyDescent="0.35">
      <c r="A107">
        <v>105</v>
      </c>
      <c r="B107">
        <v>3.5</v>
      </c>
      <c r="C107">
        <f t="shared" si="2"/>
        <v>3.5000000000000001E-3</v>
      </c>
      <c r="D107">
        <f t="shared" si="3"/>
        <v>-5.6549923104867688</v>
      </c>
    </row>
    <row r="108" spans="1:4" x14ac:dyDescent="0.35">
      <c r="A108">
        <v>106</v>
      </c>
      <c r="B108">
        <v>3.4</v>
      </c>
      <c r="C108">
        <f t="shared" si="2"/>
        <v>3.3999999999999998E-3</v>
      </c>
      <c r="D108">
        <f t="shared" si="3"/>
        <v>-5.6839798473600212</v>
      </c>
    </row>
    <row r="109" spans="1:4" x14ac:dyDescent="0.35">
      <c r="A109">
        <v>107</v>
      </c>
      <c r="B109">
        <v>3.5</v>
      </c>
      <c r="C109">
        <f t="shared" si="2"/>
        <v>3.5000000000000001E-3</v>
      </c>
      <c r="D109">
        <f t="shared" si="3"/>
        <v>-5.6549923104867688</v>
      </c>
    </row>
    <row r="110" spans="1:4" x14ac:dyDescent="0.35">
      <c r="A110">
        <v>108</v>
      </c>
      <c r="B110">
        <v>3.5</v>
      </c>
      <c r="C110">
        <f t="shared" si="2"/>
        <v>3.5000000000000001E-3</v>
      </c>
      <c r="D110">
        <f t="shared" si="3"/>
        <v>-5.6549923104867688</v>
      </c>
    </row>
    <row r="111" spans="1:4" x14ac:dyDescent="0.35">
      <c r="A111">
        <v>109</v>
      </c>
      <c r="B111">
        <v>3.5</v>
      </c>
      <c r="C111">
        <f t="shared" si="2"/>
        <v>3.5000000000000001E-3</v>
      </c>
      <c r="D111">
        <f t="shared" si="3"/>
        <v>-5.6549923104867688</v>
      </c>
    </row>
    <row r="112" spans="1:4" x14ac:dyDescent="0.35">
      <c r="A112">
        <v>110</v>
      </c>
      <c r="B112">
        <v>3.4</v>
      </c>
      <c r="C112">
        <f t="shared" si="2"/>
        <v>3.3999999999999998E-3</v>
      </c>
      <c r="D112">
        <f t="shared" si="3"/>
        <v>-5.6839798473600212</v>
      </c>
    </row>
    <row r="113" spans="1:4" x14ac:dyDescent="0.35">
      <c r="A113">
        <v>111</v>
      </c>
      <c r="B113">
        <v>3.4</v>
      </c>
      <c r="C113">
        <f t="shared" si="2"/>
        <v>3.3999999999999998E-3</v>
      </c>
      <c r="D113">
        <f t="shared" si="3"/>
        <v>-5.6839798473600212</v>
      </c>
    </row>
    <row r="114" spans="1:4" x14ac:dyDescent="0.35">
      <c r="A114">
        <v>112</v>
      </c>
      <c r="B114">
        <v>3.4</v>
      </c>
      <c r="C114">
        <f t="shared" si="2"/>
        <v>3.3999999999999998E-3</v>
      </c>
      <c r="D114">
        <f t="shared" si="3"/>
        <v>-5.6839798473600212</v>
      </c>
    </row>
    <row r="115" spans="1:4" x14ac:dyDescent="0.35">
      <c r="A115">
        <v>113</v>
      </c>
      <c r="B115">
        <v>3.5</v>
      </c>
      <c r="C115">
        <f t="shared" si="2"/>
        <v>3.5000000000000001E-3</v>
      </c>
      <c r="D115">
        <f t="shared" si="3"/>
        <v>-5.6549923104867688</v>
      </c>
    </row>
    <row r="116" spans="1:4" x14ac:dyDescent="0.35">
      <c r="A116">
        <v>114</v>
      </c>
      <c r="B116">
        <v>3.4</v>
      </c>
      <c r="C116">
        <f t="shared" si="2"/>
        <v>3.3999999999999998E-3</v>
      </c>
      <c r="D116">
        <f t="shared" si="3"/>
        <v>-5.6839798473600212</v>
      </c>
    </row>
    <row r="117" spans="1:4" x14ac:dyDescent="0.35">
      <c r="A117">
        <v>115</v>
      </c>
      <c r="B117">
        <v>3.5</v>
      </c>
      <c r="C117">
        <f t="shared" si="2"/>
        <v>3.5000000000000001E-3</v>
      </c>
      <c r="D117">
        <f t="shared" si="3"/>
        <v>-5.6549923104867688</v>
      </c>
    </row>
    <row r="118" spans="1:4" x14ac:dyDescent="0.35">
      <c r="A118">
        <v>116</v>
      </c>
      <c r="B118">
        <v>3.4</v>
      </c>
      <c r="C118">
        <f t="shared" si="2"/>
        <v>3.3999999999999998E-3</v>
      </c>
      <c r="D118">
        <f t="shared" si="3"/>
        <v>-5.6839798473600212</v>
      </c>
    </row>
    <row r="119" spans="1:4" x14ac:dyDescent="0.35">
      <c r="A119">
        <v>117</v>
      </c>
      <c r="B119">
        <v>3.4</v>
      </c>
      <c r="C119">
        <f t="shared" si="2"/>
        <v>3.3999999999999998E-3</v>
      </c>
      <c r="D119">
        <f t="shared" si="3"/>
        <v>-5.6839798473600212</v>
      </c>
    </row>
    <row r="120" spans="1:4" x14ac:dyDescent="0.35">
      <c r="A120">
        <v>118</v>
      </c>
      <c r="B120">
        <v>3.5</v>
      </c>
      <c r="C120">
        <f t="shared" si="2"/>
        <v>3.5000000000000001E-3</v>
      </c>
      <c r="D120">
        <f t="shared" si="3"/>
        <v>-5.6549923104867688</v>
      </c>
    </row>
    <row r="121" spans="1:4" x14ac:dyDescent="0.35">
      <c r="A121">
        <v>119</v>
      </c>
      <c r="B121">
        <v>3.3</v>
      </c>
      <c r="C121">
        <f t="shared" si="2"/>
        <v>3.3E-3</v>
      </c>
      <c r="D121">
        <f t="shared" si="3"/>
        <v>-5.7138328105097029</v>
      </c>
    </row>
    <row r="122" spans="1:4" x14ac:dyDescent="0.35">
      <c r="A122">
        <v>120</v>
      </c>
      <c r="B122">
        <v>3.4</v>
      </c>
      <c r="C122">
        <f t="shared" si="2"/>
        <v>3.3999999999999998E-3</v>
      </c>
      <c r="D122">
        <f t="shared" si="3"/>
        <v>-5.6839798473600212</v>
      </c>
    </row>
    <row r="123" spans="1:4" x14ac:dyDescent="0.35">
      <c r="A123">
        <v>121</v>
      </c>
      <c r="B123">
        <v>3.3</v>
      </c>
      <c r="C123">
        <f t="shared" si="2"/>
        <v>3.3E-3</v>
      </c>
      <c r="D123">
        <f t="shared" si="3"/>
        <v>-5.7138328105097029</v>
      </c>
    </row>
    <row r="124" spans="1:4" x14ac:dyDescent="0.35">
      <c r="A124">
        <v>122</v>
      </c>
      <c r="B124">
        <v>3.4</v>
      </c>
      <c r="C124">
        <f t="shared" si="2"/>
        <v>3.3999999999999998E-3</v>
      </c>
      <c r="D124">
        <f t="shared" si="3"/>
        <v>-5.6839798473600212</v>
      </c>
    </row>
    <row r="125" spans="1:4" x14ac:dyDescent="0.35">
      <c r="A125">
        <v>123</v>
      </c>
      <c r="B125">
        <v>3.4</v>
      </c>
      <c r="C125">
        <f t="shared" si="2"/>
        <v>3.3999999999999998E-3</v>
      </c>
      <c r="D125">
        <f t="shared" si="3"/>
        <v>-5.6839798473600212</v>
      </c>
    </row>
    <row r="126" spans="1:4" x14ac:dyDescent="0.35">
      <c r="A126">
        <v>124</v>
      </c>
      <c r="B126">
        <v>3.4</v>
      </c>
      <c r="C126">
        <f t="shared" si="2"/>
        <v>3.3999999999999998E-3</v>
      </c>
      <c r="D126">
        <f t="shared" si="3"/>
        <v>-5.6839798473600212</v>
      </c>
    </row>
    <row r="127" spans="1:4" x14ac:dyDescent="0.35">
      <c r="A127">
        <v>125</v>
      </c>
      <c r="B127">
        <v>3.3</v>
      </c>
      <c r="C127">
        <f t="shared" si="2"/>
        <v>3.3E-3</v>
      </c>
      <c r="D127">
        <f t="shared" si="3"/>
        <v>-5.7138328105097029</v>
      </c>
    </row>
    <row r="128" spans="1:4" x14ac:dyDescent="0.35">
      <c r="A128">
        <v>126</v>
      </c>
      <c r="B128">
        <v>3.4</v>
      </c>
      <c r="C128">
        <f t="shared" si="2"/>
        <v>3.3999999999999998E-3</v>
      </c>
      <c r="D128">
        <f t="shared" si="3"/>
        <v>-5.6839798473600212</v>
      </c>
    </row>
    <row r="129" spans="1:4" x14ac:dyDescent="0.35">
      <c r="A129">
        <v>127</v>
      </c>
      <c r="B129">
        <v>3.4</v>
      </c>
      <c r="C129">
        <f t="shared" si="2"/>
        <v>3.3999999999999998E-3</v>
      </c>
      <c r="D129">
        <f t="shared" si="3"/>
        <v>-5.6839798473600212</v>
      </c>
    </row>
    <row r="130" spans="1:4" x14ac:dyDescent="0.35">
      <c r="A130">
        <v>128</v>
      </c>
      <c r="B130">
        <v>3.4</v>
      </c>
      <c r="C130">
        <f t="shared" si="2"/>
        <v>3.3999999999999998E-3</v>
      </c>
      <c r="D130">
        <f t="shared" si="3"/>
        <v>-5.6839798473600212</v>
      </c>
    </row>
    <row r="131" spans="1:4" x14ac:dyDescent="0.35">
      <c r="A131">
        <v>129</v>
      </c>
      <c r="B131">
        <v>3.4</v>
      </c>
      <c r="C131">
        <f t="shared" ref="C131:C194" si="4">B131/1000</f>
        <v>3.3999999999999998E-3</v>
      </c>
      <c r="D131">
        <f t="shared" ref="D131:D194" si="5">LN(C131)</f>
        <v>-5.6839798473600212</v>
      </c>
    </row>
    <row r="132" spans="1:4" x14ac:dyDescent="0.35">
      <c r="A132">
        <v>130</v>
      </c>
      <c r="B132">
        <v>3.4</v>
      </c>
      <c r="C132">
        <f t="shared" si="4"/>
        <v>3.3999999999999998E-3</v>
      </c>
      <c r="D132">
        <f t="shared" si="5"/>
        <v>-5.6839798473600212</v>
      </c>
    </row>
    <row r="133" spans="1:4" x14ac:dyDescent="0.35">
      <c r="A133">
        <v>131</v>
      </c>
      <c r="B133">
        <v>3.4</v>
      </c>
      <c r="C133">
        <f t="shared" si="4"/>
        <v>3.3999999999999998E-3</v>
      </c>
      <c r="D133">
        <f t="shared" si="5"/>
        <v>-5.6839798473600212</v>
      </c>
    </row>
    <row r="134" spans="1:4" x14ac:dyDescent="0.35">
      <c r="A134">
        <v>132</v>
      </c>
      <c r="B134">
        <v>3.4</v>
      </c>
      <c r="C134">
        <f t="shared" si="4"/>
        <v>3.3999999999999998E-3</v>
      </c>
      <c r="D134">
        <f t="shared" si="5"/>
        <v>-5.6839798473600212</v>
      </c>
    </row>
    <row r="135" spans="1:4" x14ac:dyDescent="0.35">
      <c r="A135">
        <v>133</v>
      </c>
      <c r="B135">
        <v>3.5</v>
      </c>
      <c r="C135">
        <f t="shared" si="4"/>
        <v>3.5000000000000001E-3</v>
      </c>
      <c r="D135">
        <f t="shared" si="5"/>
        <v>-5.6549923104867688</v>
      </c>
    </row>
    <row r="136" spans="1:4" x14ac:dyDescent="0.35">
      <c r="A136">
        <v>134</v>
      </c>
      <c r="B136">
        <v>3.4</v>
      </c>
      <c r="C136">
        <f t="shared" si="4"/>
        <v>3.3999999999999998E-3</v>
      </c>
      <c r="D136">
        <f t="shared" si="5"/>
        <v>-5.6839798473600212</v>
      </c>
    </row>
    <row r="137" spans="1:4" x14ac:dyDescent="0.35">
      <c r="A137">
        <v>135</v>
      </c>
      <c r="B137">
        <v>3.4</v>
      </c>
      <c r="C137">
        <f t="shared" si="4"/>
        <v>3.3999999999999998E-3</v>
      </c>
      <c r="D137">
        <f t="shared" si="5"/>
        <v>-5.6839798473600212</v>
      </c>
    </row>
    <row r="138" spans="1:4" x14ac:dyDescent="0.35">
      <c r="A138">
        <v>136</v>
      </c>
      <c r="B138">
        <v>3.5</v>
      </c>
      <c r="C138">
        <f t="shared" si="4"/>
        <v>3.5000000000000001E-3</v>
      </c>
      <c r="D138">
        <f t="shared" si="5"/>
        <v>-5.6549923104867688</v>
      </c>
    </row>
    <row r="139" spans="1:4" x14ac:dyDescent="0.35">
      <c r="A139">
        <v>137</v>
      </c>
      <c r="B139">
        <v>3.4</v>
      </c>
      <c r="C139">
        <f t="shared" si="4"/>
        <v>3.3999999999999998E-3</v>
      </c>
      <c r="D139">
        <f t="shared" si="5"/>
        <v>-5.6839798473600212</v>
      </c>
    </row>
    <row r="140" spans="1:4" x14ac:dyDescent="0.35">
      <c r="A140">
        <v>138</v>
      </c>
      <c r="B140">
        <v>3.4</v>
      </c>
      <c r="C140">
        <f t="shared" si="4"/>
        <v>3.3999999999999998E-3</v>
      </c>
      <c r="D140">
        <f t="shared" si="5"/>
        <v>-5.6839798473600212</v>
      </c>
    </row>
    <row r="141" spans="1:4" x14ac:dyDescent="0.35">
      <c r="A141">
        <v>139</v>
      </c>
      <c r="B141">
        <v>3.3</v>
      </c>
      <c r="C141">
        <f t="shared" si="4"/>
        <v>3.3E-3</v>
      </c>
      <c r="D141">
        <f t="shared" si="5"/>
        <v>-5.7138328105097029</v>
      </c>
    </row>
    <row r="142" spans="1:4" x14ac:dyDescent="0.35">
      <c r="A142">
        <v>140</v>
      </c>
      <c r="B142">
        <v>3.3</v>
      </c>
      <c r="C142">
        <f t="shared" si="4"/>
        <v>3.3E-3</v>
      </c>
      <c r="D142">
        <f t="shared" si="5"/>
        <v>-5.7138328105097029</v>
      </c>
    </row>
    <row r="143" spans="1:4" x14ac:dyDescent="0.35">
      <c r="A143">
        <v>141</v>
      </c>
      <c r="B143">
        <v>3.4</v>
      </c>
      <c r="C143">
        <f t="shared" si="4"/>
        <v>3.3999999999999998E-3</v>
      </c>
      <c r="D143">
        <f t="shared" si="5"/>
        <v>-5.6839798473600212</v>
      </c>
    </row>
    <row r="144" spans="1:4" x14ac:dyDescent="0.35">
      <c r="A144">
        <v>142</v>
      </c>
      <c r="B144">
        <v>3.4</v>
      </c>
      <c r="C144">
        <f t="shared" si="4"/>
        <v>3.3999999999999998E-3</v>
      </c>
      <c r="D144">
        <f t="shared" si="5"/>
        <v>-5.6839798473600212</v>
      </c>
    </row>
    <row r="145" spans="1:4" x14ac:dyDescent="0.35">
      <c r="A145">
        <v>143</v>
      </c>
      <c r="B145">
        <v>3.4</v>
      </c>
      <c r="C145">
        <f t="shared" si="4"/>
        <v>3.3999999999999998E-3</v>
      </c>
      <c r="D145">
        <f t="shared" si="5"/>
        <v>-5.6839798473600212</v>
      </c>
    </row>
    <row r="146" spans="1:4" x14ac:dyDescent="0.35">
      <c r="A146">
        <v>144</v>
      </c>
      <c r="B146">
        <v>3.4</v>
      </c>
      <c r="C146">
        <f t="shared" si="4"/>
        <v>3.3999999999999998E-3</v>
      </c>
      <c r="D146">
        <f t="shared" si="5"/>
        <v>-5.6839798473600212</v>
      </c>
    </row>
    <row r="147" spans="1:4" x14ac:dyDescent="0.35">
      <c r="A147">
        <v>145</v>
      </c>
      <c r="B147">
        <v>3.4</v>
      </c>
      <c r="C147">
        <f t="shared" si="4"/>
        <v>3.3999999999999998E-3</v>
      </c>
      <c r="D147">
        <f t="shared" si="5"/>
        <v>-5.6839798473600212</v>
      </c>
    </row>
    <row r="148" spans="1:4" x14ac:dyDescent="0.35">
      <c r="A148">
        <v>146</v>
      </c>
      <c r="B148">
        <v>3.4</v>
      </c>
      <c r="C148">
        <f t="shared" si="4"/>
        <v>3.3999999999999998E-3</v>
      </c>
      <c r="D148">
        <f t="shared" si="5"/>
        <v>-5.6839798473600212</v>
      </c>
    </row>
    <row r="149" spans="1:4" x14ac:dyDescent="0.35">
      <c r="A149">
        <v>147</v>
      </c>
      <c r="B149">
        <v>3.4</v>
      </c>
      <c r="C149">
        <f t="shared" si="4"/>
        <v>3.3999999999999998E-3</v>
      </c>
      <c r="D149">
        <f t="shared" si="5"/>
        <v>-5.6839798473600212</v>
      </c>
    </row>
    <row r="150" spans="1:4" x14ac:dyDescent="0.35">
      <c r="A150">
        <v>148</v>
      </c>
      <c r="B150">
        <v>3.4</v>
      </c>
      <c r="C150">
        <f t="shared" si="4"/>
        <v>3.3999999999999998E-3</v>
      </c>
      <c r="D150">
        <f t="shared" si="5"/>
        <v>-5.6839798473600212</v>
      </c>
    </row>
    <row r="151" spans="1:4" x14ac:dyDescent="0.35">
      <c r="A151">
        <v>149</v>
      </c>
      <c r="B151">
        <v>3.4</v>
      </c>
      <c r="C151">
        <f t="shared" si="4"/>
        <v>3.3999999999999998E-3</v>
      </c>
      <c r="D151">
        <f t="shared" si="5"/>
        <v>-5.6839798473600212</v>
      </c>
    </row>
    <row r="152" spans="1:4" x14ac:dyDescent="0.35">
      <c r="A152">
        <v>150</v>
      </c>
      <c r="B152">
        <v>3.4</v>
      </c>
      <c r="C152">
        <f t="shared" si="4"/>
        <v>3.3999999999999998E-3</v>
      </c>
      <c r="D152">
        <f t="shared" si="5"/>
        <v>-5.6839798473600212</v>
      </c>
    </row>
    <row r="153" spans="1:4" x14ac:dyDescent="0.35">
      <c r="A153">
        <v>151</v>
      </c>
      <c r="B153">
        <v>3.3</v>
      </c>
      <c r="C153">
        <f t="shared" si="4"/>
        <v>3.3E-3</v>
      </c>
      <c r="D153">
        <f t="shared" si="5"/>
        <v>-5.7138328105097029</v>
      </c>
    </row>
    <row r="154" spans="1:4" x14ac:dyDescent="0.35">
      <c r="A154">
        <v>152</v>
      </c>
      <c r="B154">
        <v>3.3</v>
      </c>
      <c r="C154">
        <f t="shared" si="4"/>
        <v>3.3E-3</v>
      </c>
      <c r="D154">
        <f t="shared" si="5"/>
        <v>-5.7138328105097029</v>
      </c>
    </row>
    <row r="155" spans="1:4" x14ac:dyDescent="0.35">
      <c r="A155">
        <v>153</v>
      </c>
      <c r="B155">
        <v>3.3</v>
      </c>
      <c r="C155">
        <f t="shared" si="4"/>
        <v>3.3E-3</v>
      </c>
      <c r="D155">
        <f t="shared" si="5"/>
        <v>-5.7138328105097029</v>
      </c>
    </row>
    <row r="156" spans="1:4" x14ac:dyDescent="0.35">
      <c r="A156">
        <v>154</v>
      </c>
      <c r="B156">
        <v>3.3</v>
      </c>
      <c r="C156">
        <f t="shared" si="4"/>
        <v>3.3E-3</v>
      </c>
      <c r="D156">
        <f t="shared" si="5"/>
        <v>-5.7138328105097029</v>
      </c>
    </row>
    <row r="157" spans="1:4" x14ac:dyDescent="0.35">
      <c r="A157">
        <v>155</v>
      </c>
      <c r="B157">
        <v>3.3</v>
      </c>
      <c r="C157">
        <f t="shared" si="4"/>
        <v>3.3E-3</v>
      </c>
      <c r="D157">
        <f t="shared" si="5"/>
        <v>-5.7138328105097029</v>
      </c>
    </row>
    <row r="158" spans="1:4" x14ac:dyDescent="0.35">
      <c r="A158">
        <v>156</v>
      </c>
      <c r="B158">
        <v>3.3</v>
      </c>
      <c r="C158">
        <f t="shared" si="4"/>
        <v>3.3E-3</v>
      </c>
      <c r="D158">
        <f t="shared" si="5"/>
        <v>-5.7138328105097029</v>
      </c>
    </row>
    <row r="159" spans="1:4" x14ac:dyDescent="0.35">
      <c r="A159">
        <v>157</v>
      </c>
      <c r="B159">
        <v>3.3</v>
      </c>
      <c r="C159">
        <f t="shared" si="4"/>
        <v>3.3E-3</v>
      </c>
      <c r="D159">
        <f t="shared" si="5"/>
        <v>-5.7138328105097029</v>
      </c>
    </row>
    <row r="160" spans="1:4" x14ac:dyDescent="0.35">
      <c r="A160">
        <v>158</v>
      </c>
      <c r="B160">
        <v>3.3</v>
      </c>
      <c r="C160">
        <f t="shared" si="4"/>
        <v>3.3E-3</v>
      </c>
      <c r="D160">
        <f t="shared" si="5"/>
        <v>-5.7138328105097029</v>
      </c>
    </row>
    <row r="161" spans="1:4" x14ac:dyDescent="0.35">
      <c r="A161">
        <v>159</v>
      </c>
      <c r="B161">
        <v>3.4</v>
      </c>
      <c r="C161">
        <f t="shared" si="4"/>
        <v>3.3999999999999998E-3</v>
      </c>
      <c r="D161">
        <f t="shared" si="5"/>
        <v>-5.6839798473600212</v>
      </c>
    </row>
    <row r="162" spans="1:4" x14ac:dyDescent="0.35">
      <c r="A162">
        <v>160</v>
      </c>
      <c r="B162">
        <v>3.4</v>
      </c>
      <c r="C162">
        <f t="shared" si="4"/>
        <v>3.3999999999999998E-3</v>
      </c>
      <c r="D162">
        <f t="shared" si="5"/>
        <v>-5.6839798473600212</v>
      </c>
    </row>
    <row r="163" spans="1:4" x14ac:dyDescent="0.35">
      <c r="A163">
        <v>161</v>
      </c>
      <c r="B163">
        <v>3.4</v>
      </c>
      <c r="C163">
        <f t="shared" si="4"/>
        <v>3.3999999999999998E-3</v>
      </c>
      <c r="D163">
        <f t="shared" si="5"/>
        <v>-5.6839798473600212</v>
      </c>
    </row>
    <row r="164" spans="1:4" x14ac:dyDescent="0.35">
      <c r="A164">
        <v>162</v>
      </c>
      <c r="B164">
        <v>3.3</v>
      </c>
      <c r="C164">
        <f t="shared" si="4"/>
        <v>3.3E-3</v>
      </c>
      <c r="D164">
        <f t="shared" si="5"/>
        <v>-5.7138328105097029</v>
      </c>
    </row>
    <row r="165" spans="1:4" x14ac:dyDescent="0.35">
      <c r="A165">
        <v>163</v>
      </c>
      <c r="B165">
        <v>3.3</v>
      </c>
      <c r="C165">
        <f t="shared" si="4"/>
        <v>3.3E-3</v>
      </c>
      <c r="D165">
        <f t="shared" si="5"/>
        <v>-5.7138328105097029</v>
      </c>
    </row>
    <row r="166" spans="1:4" x14ac:dyDescent="0.35">
      <c r="A166">
        <v>164</v>
      </c>
      <c r="B166">
        <v>3.4</v>
      </c>
      <c r="C166">
        <f t="shared" si="4"/>
        <v>3.3999999999999998E-3</v>
      </c>
      <c r="D166">
        <f t="shared" si="5"/>
        <v>-5.6839798473600212</v>
      </c>
    </row>
    <row r="167" spans="1:4" x14ac:dyDescent="0.35">
      <c r="A167">
        <v>165</v>
      </c>
      <c r="B167">
        <v>3.4</v>
      </c>
      <c r="C167">
        <f t="shared" si="4"/>
        <v>3.3999999999999998E-3</v>
      </c>
      <c r="D167">
        <f t="shared" si="5"/>
        <v>-5.6839798473600212</v>
      </c>
    </row>
    <row r="168" spans="1:4" x14ac:dyDescent="0.35">
      <c r="A168">
        <v>166</v>
      </c>
      <c r="B168">
        <v>3.4</v>
      </c>
      <c r="C168">
        <f t="shared" si="4"/>
        <v>3.3999999999999998E-3</v>
      </c>
      <c r="D168">
        <f t="shared" si="5"/>
        <v>-5.6839798473600212</v>
      </c>
    </row>
    <row r="169" spans="1:4" x14ac:dyDescent="0.35">
      <c r="A169">
        <v>167</v>
      </c>
      <c r="B169">
        <v>3.3</v>
      </c>
      <c r="C169">
        <f t="shared" si="4"/>
        <v>3.3E-3</v>
      </c>
      <c r="D169">
        <f t="shared" si="5"/>
        <v>-5.7138328105097029</v>
      </c>
    </row>
    <row r="170" spans="1:4" x14ac:dyDescent="0.35">
      <c r="A170">
        <v>168</v>
      </c>
      <c r="B170">
        <v>3.4</v>
      </c>
      <c r="C170">
        <f t="shared" si="4"/>
        <v>3.3999999999999998E-3</v>
      </c>
      <c r="D170">
        <f t="shared" si="5"/>
        <v>-5.6839798473600212</v>
      </c>
    </row>
    <row r="171" spans="1:4" x14ac:dyDescent="0.35">
      <c r="A171">
        <v>169</v>
      </c>
      <c r="B171">
        <v>3.3</v>
      </c>
      <c r="C171">
        <f t="shared" si="4"/>
        <v>3.3E-3</v>
      </c>
      <c r="D171">
        <f t="shared" si="5"/>
        <v>-5.7138328105097029</v>
      </c>
    </row>
    <row r="172" spans="1:4" x14ac:dyDescent="0.35">
      <c r="A172">
        <v>170</v>
      </c>
      <c r="B172">
        <v>3.4</v>
      </c>
      <c r="C172">
        <f t="shared" si="4"/>
        <v>3.3999999999999998E-3</v>
      </c>
      <c r="D172">
        <f t="shared" si="5"/>
        <v>-5.6839798473600212</v>
      </c>
    </row>
    <row r="173" spans="1:4" x14ac:dyDescent="0.35">
      <c r="A173">
        <v>171</v>
      </c>
      <c r="B173">
        <v>3.3</v>
      </c>
      <c r="C173">
        <f t="shared" si="4"/>
        <v>3.3E-3</v>
      </c>
      <c r="D173">
        <f t="shared" si="5"/>
        <v>-5.7138328105097029</v>
      </c>
    </row>
    <row r="174" spans="1:4" x14ac:dyDescent="0.35">
      <c r="A174">
        <v>172</v>
      </c>
      <c r="B174">
        <v>3.3</v>
      </c>
      <c r="C174">
        <f t="shared" si="4"/>
        <v>3.3E-3</v>
      </c>
      <c r="D174">
        <f t="shared" si="5"/>
        <v>-5.7138328105097029</v>
      </c>
    </row>
    <row r="175" spans="1:4" x14ac:dyDescent="0.35">
      <c r="A175">
        <v>173</v>
      </c>
      <c r="B175">
        <v>3.3</v>
      </c>
      <c r="C175">
        <f t="shared" si="4"/>
        <v>3.3E-3</v>
      </c>
      <c r="D175">
        <f t="shared" si="5"/>
        <v>-5.7138328105097029</v>
      </c>
    </row>
    <row r="176" spans="1:4" x14ac:dyDescent="0.35">
      <c r="A176">
        <v>174</v>
      </c>
      <c r="B176">
        <v>3.3</v>
      </c>
      <c r="C176">
        <f t="shared" si="4"/>
        <v>3.3E-3</v>
      </c>
      <c r="D176">
        <f t="shared" si="5"/>
        <v>-5.7138328105097029</v>
      </c>
    </row>
    <row r="177" spans="1:4" x14ac:dyDescent="0.35">
      <c r="A177">
        <v>175</v>
      </c>
      <c r="B177">
        <v>3.2</v>
      </c>
      <c r="C177">
        <f t="shared" si="4"/>
        <v>3.2000000000000002E-3</v>
      </c>
      <c r="D177">
        <f t="shared" si="5"/>
        <v>-5.7446044691764557</v>
      </c>
    </row>
    <row r="178" spans="1:4" x14ac:dyDescent="0.35">
      <c r="A178">
        <v>176</v>
      </c>
      <c r="B178">
        <v>3.3</v>
      </c>
      <c r="C178">
        <f t="shared" si="4"/>
        <v>3.3E-3</v>
      </c>
      <c r="D178">
        <f t="shared" si="5"/>
        <v>-5.7138328105097029</v>
      </c>
    </row>
    <row r="179" spans="1:4" x14ac:dyDescent="0.35">
      <c r="A179">
        <v>177</v>
      </c>
      <c r="B179">
        <v>3.3</v>
      </c>
      <c r="C179">
        <f t="shared" si="4"/>
        <v>3.3E-3</v>
      </c>
      <c r="D179">
        <f t="shared" si="5"/>
        <v>-5.7138328105097029</v>
      </c>
    </row>
    <row r="180" spans="1:4" x14ac:dyDescent="0.35">
      <c r="A180">
        <v>178</v>
      </c>
      <c r="B180">
        <v>3.4</v>
      </c>
      <c r="C180">
        <f t="shared" si="4"/>
        <v>3.3999999999999998E-3</v>
      </c>
      <c r="D180">
        <f t="shared" si="5"/>
        <v>-5.6839798473600212</v>
      </c>
    </row>
    <row r="181" spans="1:4" x14ac:dyDescent="0.35">
      <c r="A181">
        <v>179</v>
      </c>
      <c r="B181">
        <v>3.3</v>
      </c>
      <c r="C181">
        <f t="shared" si="4"/>
        <v>3.3E-3</v>
      </c>
      <c r="D181">
        <f t="shared" si="5"/>
        <v>-5.7138328105097029</v>
      </c>
    </row>
    <row r="182" spans="1:4" x14ac:dyDescent="0.35">
      <c r="A182">
        <v>180</v>
      </c>
      <c r="B182">
        <v>3.3</v>
      </c>
      <c r="C182">
        <f t="shared" si="4"/>
        <v>3.3E-3</v>
      </c>
      <c r="D182">
        <f t="shared" si="5"/>
        <v>-5.7138328105097029</v>
      </c>
    </row>
    <row r="183" spans="1:4" x14ac:dyDescent="0.35">
      <c r="A183">
        <v>181</v>
      </c>
      <c r="B183">
        <v>3.4</v>
      </c>
      <c r="C183">
        <f t="shared" si="4"/>
        <v>3.3999999999999998E-3</v>
      </c>
      <c r="D183">
        <f t="shared" si="5"/>
        <v>-5.6839798473600212</v>
      </c>
    </row>
    <row r="184" spans="1:4" x14ac:dyDescent="0.35">
      <c r="A184">
        <v>182</v>
      </c>
      <c r="B184">
        <v>3.3</v>
      </c>
      <c r="C184">
        <f t="shared" si="4"/>
        <v>3.3E-3</v>
      </c>
      <c r="D184">
        <f t="shared" si="5"/>
        <v>-5.7138328105097029</v>
      </c>
    </row>
    <row r="185" spans="1:4" x14ac:dyDescent="0.35">
      <c r="A185">
        <v>183</v>
      </c>
      <c r="B185">
        <v>3.3</v>
      </c>
      <c r="C185">
        <f t="shared" si="4"/>
        <v>3.3E-3</v>
      </c>
      <c r="D185">
        <f t="shared" si="5"/>
        <v>-5.7138328105097029</v>
      </c>
    </row>
    <row r="186" spans="1:4" x14ac:dyDescent="0.35">
      <c r="A186">
        <v>184</v>
      </c>
      <c r="B186">
        <v>3.3</v>
      </c>
      <c r="C186">
        <f t="shared" si="4"/>
        <v>3.3E-3</v>
      </c>
      <c r="D186">
        <f t="shared" si="5"/>
        <v>-5.7138328105097029</v>
      </c>
    </row>
    <row r="187" spans="1:4" x14ac:dyDescent="0.35">
      <c r="A187">
        <v>185</v>
      </c>
      <c r="B187">
        <v>3.2</v>
      </c>
      <c r="C187">
        <f t="shared" si="4"/>
        <v>3.2000000000000002E-3</v>
      </c>
      <c r="D187">
        <f t="shared" si="5"/>
        <v>-5.7446044691764557</v>
      </c>
    </row>
    <row r="188" spans="1:4" x14ac:dyDescent="0.35">
      <c r="A188">
        <v>186</v>
      </c>
      <c r="B188">
        <v>3.2</v>
      </c>
      <c r="C188">
        <f t="shared" si="4"/>
        <v>3.2000000000000002E-3</v>
      </c>
      <c r="D188">
        <f t="shared" si="5"/>
        <v>-5.7446044691764557</v>
      </c>
    </row>
    <row r="189" spans="1:4" x14ac:dyDescent="0.35">
      <c r="A189">
        <v>187</v>
      </c>
      <c r="B189">
        <v>3.3</v>
      </c>
      <c r="C189">
        <f t="shared" si="4"/>
        <v>3.3E-3</v>
      </c>
      <c r="D189">
        <f t="shared" si="5"/>
        <v>-5.7138328105097029</v>
      </c>
    </row>
    <row r="190" spans="1:4" x14ac:dyDescent="0.35">
      <c r="A190">
        <v>188</v>
      </c>
      <c r="B190">
        <v>3.3</v>
      </c>
      <c r="C190">
        <f t="shared" si="4"/>
        <v>3.3E-3</v>
      </c>
      <c r="D190">
        <f t="shared" si="5"/>
        <v>-5.7138328105097029</v>
      </c>
    </row>
    <row r="191" spans="1:4" x14ac:dyDescent="0.35">
      <c r="A191">
        <v>189</v>
      </c>
      <c r="B191">
        <v>3.2</v>
      </c>
      <c r="C191">
        <f t="shared" si="4"/>
        <v>3.2000000000000002E-3</v>
      </c>
      <c r="D191">
        <f t="shared" si="5"/>
        <v>-5.7446044691764557</v>
      </c>
    </row>
    <row r="192" spans="1:4" x14ac:dyDescent="0.35">
      <c r="A192">
        <v>190</v>
      </c>
      <c r="B192">
        <v>3.2</v>
      </c>
      <c r="C192">
        <f t="shared" si="4"/>
        <v>3.2000000000000002E-3</v>
      </c>
      <c r="D192">
        <f t="shared" si="5"/>
        <v>-5.7446044691764557</v>
      </c>
    </row>
    <row r="193" spans="1:4" x14ac:dyDescent="0.35">
      <c r="A193">
        <v>191</v>
      </c>
      <c r="B193">
        <v>3.2</v>
      </c>
      <c r="C193">
        <f t="shared" si="4"/>
        <v>3.2000000000000002E-3</v>
      </c>
      <c r="D193">
        <f t="shared" si="5"/>
        <v>-5.7446044691764557</v>
      </c>
    </row>
    <row r="194" spans="1:4" x14ac:dyDescent="0.35">
      <c r="A194">
        <v>192</v>
      </c>
      <c r="B194">
        <v>3.2</v>
      </c>
      <c r="C194">
        <f t="shared" si="4"/>
        <v>3.2000000000000002E-3</v>
      </c>
      <c r="D194">
        <f t="shared" si="5"/>
        <v>-5.7446044691764557</v>
      </c>
    </row>
    <row r="195" spans="1:4" x14ac:dyDescent="0.35">
      <c r="A195">
        <v>193</v>
      </c>
      <c r="B195">
        <v>3.2</v>
      </c>
      <c r="C195">
        <f t="shared" ref="C195:C258" si="6">B195/1000</f>
        <v>3.2000000000000002E-3</v>
      </c>
      <c r="D195">
        <f t="shared" ref="D195:D258" si="7">LN(C195)</f>
        <v>-5.7446044691764557</v>
      </c>
    </row>
    <row r="196" spans="1:4" x14ac:dyDescent="0.35">
      <c r="A196">
        <v>194</v>
      </c>
      <c r="B196">
        <v>3.2</v>
      </c>
      <c r="C196">
        <f t="shared" si="6"/>
        <v>3.2000000000000002E-3</v>
      </c>
      <c r="D196">
        <f t="shared" si="7"/>
        <v>-5.7446044691764557</v>
      </c>
    </row>
    <row r="197" spans="1:4" x14ac:dyDescent="0.35">
      <c r="A197">
        <v>195</v>
      </c>
      <c r="B197">
        <v>3.2</v>
      </c>
      <c r="C197">
        <f t="shared" si="6"/>
        <v>3.2000000000000002E-3</v>
      </c>
      <c r="D197">
        <f t="shared" si="7"/>
        <v>-5.7446044691764557</v>
      </c>
    </row>
    <row r="198" spans="1:4" x14ac:dyDescent="0.35">
      <c r="A198">
        <v>196</v>
      </c>
      <c r="B198">
        <v>3.3</v>
      </c>
      <c r="C198">
        <f t="shared" si="6"/>
        <v>3.3E-3</v>
      </c>
      <c r="D198">
        <f t="shared" si="7"/>
        <v>-5.7138328105097029</v>
      </c>
    </row>
    <row r="199" spans="1:4" x14ac:dyDescent="0.35">
      <c r="A199">
        <v>197</v>
      </c>
      <c r="B199">
        <v>3.3</v>
      </c>
      <c r="C199">
        <f t="shared" si="6"/>
        <v>3.3E-3</v>
      </c>
      <c r="D199">
        <f t="shared" si="7"/>
        <v>-5.7138328105097029</v>
      </c>
    </row>
    <row r="200" spans="1:4" x14ac:dyDescent="0.35">
      <c r="A200">
        <v>198</v>
      </c>
      <c r="B200">
        <v>3.3</v>
      </c>
      <c r="C200">
        <f t="shared" si="6"/>
        <v>3.3E-3</v>
      </c>
      <c r="D200">
        <f t="shared" si="7"/>
        <v>-5.7138328105097029</v>
      </c>
    </row>
    <row r="201" spans="1:4" x14ac:dyDescent="0.35">
      <c r="A201">
        <v>199</v>
      </c>
      <c r="B201">
        <v>3.2</v>
      </c>
      <c r="C201">
        <f t="shared" si="6"/>
        <v>3.2000000000000002E-3</v>
      </c>
      <c r="D201">
        <f t="shared" si="7"/>
        <v>-5.7446044691764557</v>
      </c>
    </row>
    <row r="202" spans="1:4" x14ac:dyDescent="0.35">
      <c r="A202">
        <v>200</v>
      </c>
      <c r="B202">
        <v>3.2</v>
      </c>
      <c r="C202">
        <f t="shared" si="6"/>
        <v>3.2000000000000002E-3</v>
      </c>
      <c r="D202">
        <f t="shared" si="7"/>
        <v>-5.7446044691764557</v>
      </c>
    </row>
    <row r="203" spans="1:4" x14ac:dyDescent="0.35">
      <c r="A203">
        <v>201</v>
      </c>
      <c r="B203">
        <v>3.1</v>
      </c>
      <c r="C203">
        <f t="shared" si="6"/>
        <v>3.0999999999999999E-3</v>
      </c>
      <c r="D203">
        <f t="shared" si="7"/>
        <v>-5.7763531674910364</v>
      </c>
    </row>
    <row r="204" spans="1:4" x14ac:dyDescent="0.35">
      <c r="A204">
        <v>202</v>
      </c>
      <c r="B204">
        <v>3.3</v>
      </c>
      <c r="C204">
        <f t="shared" si="6"/>
        <v>3.3E-3</v>
      </c>
      <c r="D204">
        <f t="shared" si="7"/>
        <v>-5.7138328105097029</v>
      </c>
    </row>
    <row r="205" spans="1:4" x14ac:dyDescent="0.35">
      <c r="A205">
        <v>203</v>
      </c>
      <c r="B205">
        <v>3.2</v>
      </c>
      <c r="C205">
        <f t="shared" si="6"/>
        <v>3.2000000000000002E-3</v>
      </c>
      <c r="D205">
        <f t="shared" si="7"/>
        <v>-5.7446044691764557</v>
      </c>
    </row>
    <row r="206" spans="1:4" x14ac:dyDescent="0.35">
      <c r="A206">
        <v>204</v>
      </c>
      <c r="B206">
        <v>3.2</v>
      </c>
      <c r="C206">
        <f t="shared" si="6"/>
        <v>3.2000000000000002E-3</v>
      </c>
      <c r="D206">
        <f t="shared" si="7"/>
        <v>-5.7446044691764557</v>
      </c>
    </row>
    <row r="207" spans="1:4" x14ac:dyDescent="0.35">
      <c r="A207">
        <v>205</v>
      </c>
      <c r="B207">
        <v>3.2</v>
      </c>
      <c r="C207">
        <f t="shared" si="6"/>
        <v>3.2000000000000002E-3</v>
      </c>
      <c r="D207">
        <f t="shared" si="7"/>
        <v>-5.7446044691764557</v>
      </c>
    </row>
    <row r="208" spans="1:4" x14ac:dyDescent="0.35">
      <c r="A208">
        <v>206</v>
      </c>
      <c r="B208">
        <v>3.2</v>
      </c>
      <c r="C208">
        <f t="shared" si="6"/>
        <v>3.2000000000000002E-3</v>
      </c>
      <c r="D208">
        <f t="shared" si="7"/>
        <v>-5.7446044691764557</v>
      </c>
    </row>
    <row r="209" spans="1:4" x14ac:dyDescent="0.35">
      <c r="A209">
        <v>207</v>
      </c>
      <c r="B209">
        <v>3.2</v>
      </c>
      <c r="C209">
        <f t="shared" si="6"/>
        <v>3.2000000000000002E-3</v>
      </c>
      <c r="D209">
        <f t="shared" si="7"/>
        <v>-5.7446044691764557</v>
      </c>
    </row>
    <row r="210" spans="1:4" x14ac:dyDescent="0.35">
      <c r="A210">
        <v>208</v>
      </c>
      <c r="B210">
        <v>3.2</v>
      </c>
      <c r="C210">
        <f t="shared" si="6"/>
        <v>3.2000000000000002E-3</v>
      </c>
      <c r="D210">
        <f t="shared" si="7"/>
        <v>-5.7446044691764557</v>
      </c>
    </row>
    <row r="211" spans="1:4" x14ac:dyDescent="0.35">
      <c r="A211">
        <v>209</v>
      </c>
      <c r="B211">
        <v>3.2</v>
      </c>
      <c r="C211">
        <f t="shared" si="6"/>
        <v>3.2000000000000002E-3</v>
      </c>
      <c r="D211">
        <f t="shared" si="7"/>
        <v>-5.7446044691764557</v>
      </c>
    </row>
    <row r="212" spans="1:4" x14ac:dyDescent="0.35">
      <c r="A212">
        <v>210</v>
      </c>
      <c r="B212">
        <v>3.2</v>
      </c>
      <c r="C212">
        <f t="shared" si="6"/>
        <v>3.2000000000000002E-3</v>
      </c>
      <c r="D212">
        <f t="shared" si="7"/>
        <v>-5.7446044691764557</v>
      </c>
    </row>
    <row r="213" spans="1:4" x14ac:dyDescent="0.35">
      <c r="A213">
        <v>211</v>
      </c>
      <c r="B213">
        <v>3.2</v>
      </c>
      <c r="C213">
        <f t="shared" si="6"/>
        <v>3.2000000000000002E-3</v>
      </c>
      <c r="D213">
        <f t="shared" si="7"/>
        <v>-5.7446044691764557</v>
      </c>
    </row>
    <row r="214" spans="1:4" x14ac:dyDescent="0.35">
      <c r="A214">
        <v>212</v>
      </c>
      <c r="B214">
        <v>3.2</v>
      </c>
      <c r="C214">
        <f t="shared" si="6"/>
        <v>3.2000000000000002E-3</v>
      </c>
      <c r="D214">
        <f t="shared" si="7"/>
        <v>-5.7446044691764557</v>
      </c>
    </row>
    <row r="215" spans="1:4" x14ac:dyDescent="0.35">
      <c r="A215">
        <v>213</v>
      </c>
      <c r="B215">
        <v>3.1</v>
      </c>
      <c r="C215">
        <f t="shared" si="6"/>
        <v>3.0999999999999999E-3</v>
      </c>
      <c r="D215">
        <f t="shared" si="7"/>
        <v>-5.7763531674910364</v>
      </c>
    </row>
    <row r="216" spans="1:4" x14ac:dyDescent="0.35">
      <c r="A216">
        <v>214</v>
      </c>
      <c r="B216">
        <v>3.2</v>
      </c>
      <c r="C216">
        <f t="shared" si="6"/>
        <v>3.2000000000000002E-3</v>
      </c>
      <c r="D216">
        <f t="shared" si="7"/>
        <v>-5.7446044691764557</v>
      </c>
    </row>
    <row r="217" spans="1:4" x14ac:dyDescent="0.35">
      <c r="A217">
        <v>215</v>
      </c>
      <c r="B217">
        <v>3.2</v>
      </c>
      <c r="C217">
        <f t="shared" si="6"/>
        <v>3.2000000000000002E-3</v>
      </c>
      <c r="D217">
        <f t="shared" si="7"/>
        <v>-5.7446044691764557</v>
      </c>
    </row>
    <row r="218" spans="1:4" x14ac:dyDescent="0.35">
      <c r="A218">
        <v>216</v>
      </c>
      <c r="B218">
        <v>3.2</v>
      </c>
      <c r="C218">
        <f t="shared" si="6"/>
        <v>3.2000000000000002E-3</v>
      </c>
      <c r="D218">
        <f t="shared" si="7"/>
        <v>-5.7446044691764557</v>
      </c>
    </row>
    <row r="219" spans="1:4" x14ac:dyDescent="0.35">
      <c r="A219">
        <v>217</v>
      </c>
      <c r="B219">
        <v>3.1</v>
      </c>
      <c r="C219">
        <f t="shared" si="6"/>
        <v>3.0999999999999999E-3</v>
      </c>
      <c r="D219">
        <f t="shared" si="7"/>
        <v>-5.7763531674910364</v>
      </c>
    </row>
    <row r="220" spans="1:4" x14ac:dyDescent="0.35">
      <c r="A220">
        <v>218</v>
      </c>
      <c r="B220">
        <v>3.2</v>
      </c>
      <c r="C220">
        <f t="shared" si="6"/>
        <v>3.2000000000000002E-3</v>
      </c>
      <c r="D220">
        <f t="shared" si="7"/>
        <v>-5.7446044691764557</v>
      </c>
    </row>
    <row r="221" spans="1:4" x14ac:dyDescent="0.35">
      <c r="A221">
        <v>219</v>
      </c>
      <c r="B221">
        <v>3.2</v>
      </c>
      <c r="C221">
        <f t="shared" si="6"/>
        <v>3.2000000000000002E-3</v>
      </c>
      <c r="D221">
        <f t="shared" si="7"/>
        <v>-5.7446044691764557</v>
      </c>
    </row>
    <row r="222" spans="1:4" x14ac:dyDescent="0.35">
      <c r="A222">
        <v>220</v>
      </c>
      <c r="B222">
        <v>3.2</v>
      </c>
      <c r="C222">
        <f t="shared" si="6"/>
        <v>3.2000000000000002E-3</v>
      </c>
      <c r="D222">
        <f t="shared" si="7"/>
        <v>-5.7446044691764557</v>
      </c>
    </row>
    <row r="223" spans="1:4" x14ac:dyDescent="0.35">
      <c r="A223">
        <v>221</v>
      </c>
      <c r="B223">
        <v>3.2</v>
      </c>
      <c r="C223">
        <f t="shared" si="6"/>
        <v>3.2000000000000002E-3</v>
      </c>
      <c r="D223">
        <f t="shared" si="7"/>
        <v>-5.7446044691764557</v>
      </c>
    </row>
    <row r="224" spans="1:4" x14ac:dyDescent="0.35">
      <c r="A224">
        <v>222</v>
      </c>
      <c r="B224">
        <v>3.1</v>
      </c>
      <c r="C224">
        <f t="shared" si="6"/>
        <v>3.0999999999999999E-3</v>
      </c>
      <c r="D224">
        <f t="shared" si="7"/>
        <v>-5.7763531674910364</v>
      </c>
    </row>
    <row r="225" spans="1:4" x14ac:dyDescent="0.35">
      <c r="A225">
        <v>223</v>
      </c>
      <c r="B225">
        <v>3.1</v>
      </c>
      <c r="C225">
        <f t="shared" si="6"/>
        <v>3.0999999999999999E-3</v>
      </c>
      <c r="D225">
        <f t="shared" si="7"/>
        <v>-5.7763531674910364</v>
      </c>
    </row>
    <row r="226" spans="1:4" x14ac:dyDescent="0.35">
      <c r="A226">
        <v>224</v>
      </c>
      <c r="B226">
        <v>3.2</v>
      </c>
      <c r="C226">
        <f t="shared" si="6"/>
        <v>3.2000000000000002E-3</v>
      </c>
      <c r="D226">
        <f t="shared" si="7"/>
        <v>-5.7446044691764557</v>
      </c>
    </row>
    <row r="227" spans="1:4" x14ac:dyDescent="0.35">
      <c r="A227">
        <v>225</v>
      </c>
      <c r="B227">
        <v>3.2</v>
      </c>
      <c r="C227">
        <f t="shared" si="6"/>
        <v>3.2000000000000002E-3</v>
      </c>
      <c r="D227">
        <f t="shared" si="7"/>
        <v>-5.7446044691764557</v>
      </c>
    </row>
    <row r="228" spans="1:4" x14ac:dyDescent="0.35">
      <c r="A228">
        <v>226</v>
      </c>
      <c r="B228">
        <v>3.3</v>
      </c>
      <c r="C228">
        <f t="shared" si="6"/>
        <v>3.3E-3</v>
      </c>
      <c r="D228">
        <f t="shared" si="7"/>
        <v>-5.7138328105097029</v>
      </c>
    </row>
    <row r="229" spans="1:4" x14ac:dyDescent="0.35">
      <c r="A229">
        <v>227</v>
      </c>
      <c r="B229">
        <v>3.2</v>
      </c>
      <c r="C229">
        <f t="shared" si="6"/>
        <v>3.2000000000000002E-3</v>
      </c>
      <c r="D229">
        <f t="shared" si="7"/>
        <v>-5.7446044691764557</v>
      </c>
    </row>
    <row r="230" spans="1:4" x14ac:dyDescent="0.35">
      <c r="A230">
        <v>228</v>
      </c>
      <c r="B230">
        <v>3.2</v>
      </c>
      <c r="C230">
        <f t="shared" si="6"/>
        <v>3.2000000000000002E-3</v>
      </c>
      <c r="D230">
        <f t="shared" si="7"/>
        <v>-5.7446044691764557</v>
      </c>
    </row>
    <row r="231" spans="1:4" x14ac:dyDescent="0.35">
      <c r="A231">
        <v>229</v>
      </c>
      <c r="B231">
        <v>3.2</v>
      </c>
      <c r="C231">
        <f t="shared" si="6"/>
        <v>3.2000000000000002E-3</v>
      </c>
      <c r="D231">
        <f t="shared" si="7"/>
        <v>-5.7446044691764557</v>
      </c>
    </row>
    <row r="232" spans="1:4" x14ac:dyDescent="0.35">
      <c r="A232">
        <v>230</v>
      </c>
      <c r="B232">
        <v>3.2</v>
      </c>
      <c r="C232">
        <f t="shared" si="6"/>
        <v>3.2000000000000002E-3</v>
      </c>
      <c r="D232">
        <f t="shared" si="7"/>
        <v>-5.7446044691764557</v>
      </c>
    </row>
    <row r="233" spans="1:4" x14ac:dyDescent="0.35">
      <c r="A233">
        <v>231</v>
      </c>
      <c r="B233">
        <v>3.2</v>
      </c>
      <c r="C233">
        <f t="shared" si="6"/>
        <v>3.2000000000000002E-3</v>
      </c>
      <c r="D233">
        <f t="shared" si="7"/>
        <v>-5.7446044691764557</v>
      </c>
    </row>
    <row r="234" spans="1:4" x14ac:dyDescent="0.35">
      <c r="A234">
        <v>232</v>
      </c>
      <c r="B234">
        <v>3.2</v>
      </c>
      <c r="C234">
        <f t="shared" si="6"/>
        <v>3.2000000000000002E-3</v>
      </c>
      <c r="D234">
        <f t="shared" si="7"/>
        <v>-5.7446044691764557</v>
      </c>
    </row>
    <row r="235" spans="1:4" x14ac:dyDescent="0.35">
      <c r="A235">
        <v>233</v>
      </c>
      <c r="B235">
        <v>3.2</v>
      </c>
      <c r="C235">
        <f t="shared" si="6"/>
        <v>3.2000000000000002E-3</v>
      </c>
      <c r="D235">
        <f t="shared" si="7"/>
        <v>-5.7446044691764557</v>
      </c>
    </row>
    <row r="236" spans="1:4" x14ac:dyDescent="0.35">
      <c r="A236">
        <v>234</v>
      </c>
      <c r="B236">
        <v>3.2</v>
      </c>
      <c r="C236">
        <f t="shared" si="6"/>
        <v>3.2000000000000002E-3</v>
      </c>
      <c r="D236">
        <f t="shared" si="7"/>
        <v>-5.7446044691764557</v>
      </c>
    </row>
    <row r="237" spans="1:4" x14ac:dyDescent="0.35">
      <c r="A237">
        <v>235</v>
      </c>
      <c r="B237">
        <v>3.2</v>
      </c>
      <c r="C237">
        <f t="shared" si="6"/>
        <v>3.2000000000000002E-3</v>
      </c>
      <c r="D237">
        <f t="shared" si="7"/>
        <v>-5.7446044691764557</v>
      </c>
    </row>
    <row r="238" spans="1:4" x14ac:dyDescent="0.35">
      <c r="A238">
        <v>236</v>
      </c>
      <c r="B238">
        <v>3.2</v>
      </c>
      <c r="C238">
        <f t="shared" si="6"/>
        <v>3.2000000000000002E-3</v>
      </c>
      <c r="D238">
        <f t="shared" si="7"/>
        <v>-5.7446044691764557</v>
      </c>
    </row>
    <row r="239" spans="1:4" x14ac:dyDescent="0.35">
      <c r="A239">
        <v>237</v>
      </c>
      <c r="B239">
        <v>3.2</v>
      </c>
      <c r="C239">
        <f t="shared" si="6"/>
        <v>3.2000000000000002E-3</v>
      </c>
      <c r="D239">
        <f t="shared" si="7"/>
        <v>-5.7446044691764557</v>
      </c>
    </row>
    <row r="240" spans="1:4" x14ac:dyDescent="0.35">
      <c r="A240">
        <v>238</v>
      </c>
      <c r="B240">
        <v>3.2</v>
      </c>
      <c r="C240">
        <f t="shared" si="6"/>
        <v>3.2000000000000002E-3</v>
      </c>
      <c r="D240">
        <f t="shared" si="7"/>
        <v>-5.7446044691764557</v>
      </c>
    </row>
    <row r="241" spans="1:4" x14ac:dyDescent="0.35">
      <c r="A241">
        <v>239</v>
      </c>
      <c r="B241">
        <v>3.2</v>
      </c>
      <c r="C241">
        <f t="shared" si="6"/>
        <v>3.2000000000000002E-3</v>
      </c>
      <c r="D241">
        <f t="shared" si="7"/>
        <v>-5.7446044691764557</v>
      </c>
    </row>
    <row r="242" spans="1:4" x14ac:dyDescent="0.35">
      <c r="A242">
        <v>240</v>
      </c>
      <c r="B242">
        <v>3.2</v>
      </c>
      <c r="C242">
        <f t="shared" si="6"/>
        <v>3.2000000000000002E-3</v>
      </c>
      <c r="D242">
        <f t="shared" si="7"/>
        <v>-5.7446044691764557</v>
      </c>
    </row>
    <row r="243" spans="1:4" x14ac:dyDescent="0.35">
      <c r="A243">
        <v>241</v>
      </c>
      <c r="B243">
        <v>3.1</v>
      </c>
      <c r="C243">
        <f t="shared" si="6"/>
        <v>3.0999999999999999E-3</v>
      </c>
      <c r="D243">
        <f t="shared" si="7"/>
        <v>-5.7763531674910364</v>
      </c>
    </row>
    <row r="244" spans="1:4" x14ac:dyDescent="0.35">
      <c r="A244">
        <v>242</v>
      </c>
      <c r="B244">
        <v>3.1</v>
      </c>
      <c r="C244">
        <f t="shared" si="6"/>
        <v>3.0999999999999999E-3</v>
      </c>
      <c r="D244">
        <f t="shared" si="7"/>
        <v>-5.7763531674910364</v>
      </c>
    </row>
    <row r="245" spans="1:4" x14ac:dyDescent="0.35">
      <c r="A245">
        <v>243</v>
      </c>
      <c r="B245">
        <v>3.1</v>
      </c>
      <c r="C245">
        <f t="shared" si="6"/>
        <v>3.0999999999999999E-3</v>
      </c>
      <c r="D245">
        <f t="shared" si="7"/>
        <v>-5.7763531674910364</v>
      </c>
    </row>
    <row r="246" spans="1:4" x14ac:dyDescent="0.35">
      <c r="A246">
        <v>244</v>
      </c>
      <c r="B246">
        <v>3.1</v>
      </c>
      <c r="C246">
        <f t="shared" si="6"/>
        <v>3.0999999999999999E-3</v>
      </c>
      <c r="D246">
        <f t="shared" si="7"/>
        <v>-5.7763531674910364</v>
      </c>
    </row>
    <row r="247" spans="1:4" x14ac:dyDescent="0.35">
      <c r="A247">
        <v>245</v>
      </c>
      <c r="B247">
        <v>3.2</v>
      </c>
      <c r="C247">
        <f t="shared" si="6"/>
        <v>3.2000000000000002E-3</v>
      </c>
      <c r="D247">
        <f t="shared" si="7"/>
        <v>-5.7446044691764557</v>
      </c>
    </row>
    <row r="248" spans="1:4" x14ac:dyDescent="0.35">
      <c r="A248">
        <v>246</v>
      </c>
      <c r="B248">
        <v>3.2</v>
      </c>
      <c r="C248">
        <f t="shared" si="6"/>
        <v>3.2000000000000002E-3</v>
      </c>
      <c r="D248">
        <f t="shared" si="7"/>
        <v>-5.7446044691764557</v>
      </c>
    </row>
    <row r="249" spans="1:4" x14ac:dyDescent="0.35">
      <c r="A249">
        <v>247</v>
      </c>
      <c r="B249">
        <v>3.2</v>
      </c>
      <c r="C249">
        <f t="shared" si="6"/>
        <v>3.2000000000000002E-3</v>
      </c>
      <c r="D249">
        <f t="shared" si="7"/>
        <v>-5.7446044691764557</v>
      </c>
    </row>
    <row r="250" spans="1:4" x14ac:dyDescent="0.35">
      <c r="A250">
        <v>248</v>
      </c>
      <c r="B250">
        <v>3.1</v>
      </c>
      <c r="C250">
        <f t="shared" si="6"/>
        <v>3.0999999999999999E-3</v>
      </c>
      <c r="D250">
        <f t="shared" si="7"/>
        <v>-5.7763531674910364</v>
      </c>
    </row>
    <row r="251" spans="1:4" x14ac:dyDescent="0.35">
      <c r="A251">
        <v>249</v>
      </c>
      <c r="B251">
        <v>3.1</v>
      </c>
      <c r="C251">
        <f t="shared" si="6"/>
        <v>3.0999999999999999E-3</v>
      </c>
      <c r="D251">
        <f t="shared" si="7"/>
        <v>-5.7763531674910364</v>
      </c>
    </row>
    <row r="252" spans="1:4" x14ac:dyDescent="0.35">
      <c r="A252">
        <v>250</v>
      </c>
      <c r="B252">
        <v>3.2</v>
      </c>
      <c r="C252">
        <f t="shared" si="6"/>
        <v>3.2000000000000002E-3</v>
      </c>
      <c r="D252">
        <f t="shared" si="7"/>
        <v>-5.7446044691764557</v>
      </c>
    </row>
    <row r="253" spans="1:4" x14ac:dyDescent="0.35">
      <c r="A253">
        <v>251</v>
      </c>
      <c r="B253">
        <v>3.2</v>
      </c>
      <c r="C253">
        <f t="shared" si="6"/>
        <v>3.2000000000000002E-3</v>
      </c>
      <c r="D253">
        <f t="shared" si="7"/>
        <v>-5.7446044691764557</v>
      </c>
    </row>
    <row r="254" spans="1:4" x14ac:dyDescent="0.35">
      <c r="A254">
        <v>252</v>
      </c>
      <c r="B254">
        <v>3.2</v>
      </c>
      <c r="C254">
        <f t="shared" si="6"/>
        <v>3.2000000000000002E-3</v>
      </c>
      <c r="D254">
        <f t="shared" si="7"/>
        <v>-5.7446044691764557</v>
      </c>
    </row>
    <row r="255" spans="1:4" x14ac:dyDescent="0.35">
      <c r="A255">
        <v>253</v>
      </c>
      <c r="B255">
        <v>3.1</v>
      </c>
      <c r="C255">
        <f t="shared" si="6"/>
        <v>3.0999999999999999E-3</v>
      </c>
      <c r="D255">
        <f t="shared" si="7"/>
        <v>-5.7763531674910364</v>
      </c>
    </row>
    <row r="256" spans="1:4" x14ac:dyDescent="0.35">
      <c r="A256">
        <v>254</v>
      </c>
      <c r="B256">
        <v>3.1</v>
      </c>
      <c r="C256">
        <f t="shared" si="6"/>
        <v>3.0999999999999999E-3</v>
      </c>
      <c r="D256">
        <f t="shared" si="7"/>
        <v>-5.7763531674910364</v>
      </c>
    </row>
    <row r="257" spans="1:4" x14ac:dyDescent="0.35">
      <c r="A257">
        <v>255</v>
      </c>
      <c r="B257">
        <v>3.1</v>
      </c>
      <c r="C257">
        <f t="shared" si="6"/>
        <v>3.0999999999999999E-3</v>
      </c>
      <c r="D257">
        <f t="shared" si="7"/>
        <v>-5.7763531674910364</v>
      </c>
    </row>
    <row r="258" spans="1:4" x14ac:dyDescent="0.35">
      <c r="A258">
        <v>256</v>
      </c>
      <c r="B258">
        <v>3.1</v>
      </c>
      <c r="C258">
        <f t="shared" si="6"/>
        <v>3.0999999999999999E-3</v>
      </c>
      <c r="D258">
        <f t="shared" si="7"/>
        <v>-5.7763531674910364</v>
      </c>
    </row>
    <row r="259" spans="1:4" x14ac:dyDescent="0.35">
      <c r="A259">
        <v>257</v>
      </c>
      <c r="B259">
        <v>3.1</v>
      </c>
      <c r="C259">
        <f t="shared" ref="C259:C301" si="8">B259/1000</f>
        <v>3.0999999999999999E-3</v>
      </c>
      <c r="D259">
        <f t="shared" ref="D259:D301" si="9">LN(C259)</f>
        <v>-5.7763531674910364</v>
      </c>
    </row>
    <row r="260" spans="1:4" x14ac:dyDescent="0.35">
      <c r="A260">
        <v>258</v>
      </c>
      <c r="B260">
        <v>3.1</v>
      </c>
      <c r="C260">
        <f t="shared" si="8"/>
        <v>3.0999999999999999E-3</v>
      </c>
      <c r="D260">
        <f t="shared" si="9"/>
        <v>-5.7763531674910364</v>
      </c>
    </row>
    <row r="261" spans="1:4" x14ac:dyDescent="0.35">
      <c r="A261">
        <v>259</v>
      </c>
      <c r="B261">
        <v>3.1</v>
      </c>
      <c r="C261">
        <f t="shared" si="8"/>
        <v>3.0999999999999999E-3</v>
      </c>
      <c r="D261">
        <f t="shared" si="9"/>
        <v>-5.7763531674910364</v>
      </c>
    </row>
    <row r="262" spans="1:4" x14ac:dyDescent="0.35">
      <c r="A262">
        <v>260</v>
      </c>
      <c r="B262">
        <v>3.1</v>
      </c>
      <c r="C262">
        <f t="shared" si="8"/>
        <v>3.0999999999999999E-3</v>
      </c>
      <c r="D262">
        <f t="shared" si="9"/>
        <v>-5.7763531674910364</v>
      </c>
    </row>
    <row r="263" spans="1:4" x14ac:dyDescent="0.35">
      <c r="A263">
        <v>261</v>
      </c>
      <c r="B263">
        <v>3.1</v>
      </c>
      <c r="C263">
        <f t="shared" si="8"/>
        <v>3.0999999999999999E-3</v>
      </c>
      <c r="D263">
        <f t="shared" si="9"/>
        <v>-5.7763531674910364</v>
      </c>
    </row>
    <row r="264" spans="1:4" x14ac:dyDescent="0.35">
      <c r="A264">
        <v>262</v>
      </c>
      <c r="B264">
        <v>3.2</v>
      </c>
      <c r="C264">
        <f t="shared" si="8"/>
        <v>3.2000000000000002E-3</v>
      </c>
      <c r="D264">
        <f t="shared" si="9"/>
        <v>-5.7446044691764557</v>
      </c>
    </row>
    <row r="265" spans="1:4" x14ac:dyDescent="0.35">
      <c r="A265">
        <v>263</v>
      </c>
      <c r="B265">
        <v>3.2</v>
      </c>
      <c r="C265">
        <f t="shared" si="8"/>
        <v>3.2000000000000002E-3</v>
      </c>
      <c r="D265">
        <f t="shared" si="9"/>
        <v>-5.7446044691764557</v>
      </c>
    </row>
    <row r="266" spans="1:4" x14ac:dyDescent="0.35">
      <c r="A266">
        <v>264</v>
      </c>
      <c r="B266">
        <v>3.2</v>
      </c>
      <c r="C266">
        <f t="shared" si="8"/>
        <v>3.2000000000000002E-3</v>
      </c>
      <c r="D266">
        <f t="shared" si="9"/>
        <v>-5.7446044691764557</v>
      </c>
    </row>
    <row r="267" spans="1:4" x14ac:dyDescent="0.35">
      <c r="A267">
        <v>265</v>
      </c>
      <c r="B267">
        <v>3.1</v>
      </c>
      <c r="C267">
        <f t="shared" si="8"/>
        <v>3.0999999999999999E-3</v>
      </c>
      <c r="D267">
        <f t="shared" si="9"/>
        <v>-5.7763531674910364</v>
      </c>
    </row>
    <row r="268" spans="1:4" x14ac:dyDescent="0.35">
      <c r="A268">
        <v>266</v>
      </c>
      <c r="B268">
        <v>3.2</v>
      </c>
      <c r="C268">
        <f t="shared" si="8"/>
        <v>3.2000000000000002E-3</v>
      </c>
      <c r="D268">
        <f t="shared" si="9"/>
        <v>-5.7446044691764557</v>
      </c>
    </row>
    <row r="269" spans="1:4" x14ac:dyDescent="0.35">
      <c r="A269">
        <v>267</v>
      </c>
      <c r="B269">
        <v>3.2</v>
      </c>
      <c r="C269">
        <f t="shared" si="8"/>
        <v>3.2000000000000002E-3</v>
      </c>
      <c r="D269">
        <f t="shared" si="9"/>
        <v>-5.7446044691764557</v>
      </c>
    </row>
    <row r="270" spans="1:4" x14ac:dyDescent="0.35">
      <c r="A270">
        <v>268</v>
      </c>
      <c r="B270">
        <v>3.1</v>
      </c>
      <c r="C270">
        <f t="shared" si="8"/>
        <v>3.0999999999999999E-3</v>
      </c>
      <c r="D270">
        <f t="shared" si="9"/>
        <v>-5.7763531674910364</v>
      </c>
    </row>
    <row r="271" spans="1:4" x14ac:dyDescent="0.35">
      <c r="A271">
        <v>269</v>
      </c>
      <c r="B271">
        <v>3.1</v>
      </c>
      <c r="C271">
        <f t="shared" si="8"/>
        <v>3.0999999999999999E-3</v>
      </c>
      <c r="D271">
        <f t="shared" si="9"/>
        <v>-5.7763531674910364</v>
      </c>
    </row>
    <row r="272" spans="1:4" x14ac:dyDescent="0.35">
      <c r="A272">
        <v>270</v>
      </c>
      <c r="B272">
        <v>3.1</v>
      </c>
      <c r="C272">
        <f t="shared" si="8"/>
        <v>3.0999999999999999E-3</v>
      </c>
      <c r="D272">
        <f t="shared" si="9"/>
        <v>-5.7763531674910364</v>
      </c>
    </row>
    <row r="273" spans="1:4" x14ac:dyDescent="0.35">
      <c r="A273">
        <v>271</v>
      </c>
      <c r="B273">
        <v>3.2</v>
      </c>
      <c r="C273">
        <f t="shared" si="8"/>
        <v>3.2000000000000002E-3</v>
      </c>
      <c r="D273">
        <f t="shared" si="9"/>
        <v>-5.7446044691764557</v>
      </c>
    </row>
    <row r="274" spans="1:4" x14ac:dyDescent="0.35">
      <c r="A274">
        <v>272</v>
      </c>
      <c r="B274">
        <v>3.2</v>
      </c>
      <c r="C274">
        <f t="shared" si="8"/>
        <v>3.2000000000000002E-3</v>
      </c>
      <c r="D274">
        <f t="shared" si="9"/>
        <v>-5.7446044691764557</v>
      </c>
    </row>
    <row r="275" spans="1:4" x14ac:dyDescent="0.35">
      <c r="A275">
        <v>273</v>
      </c>
      <c r="B275">
        <v>3.2</v>
      </c>
      <c r="C275">
        <f t="shared" si="8"/>
        <v>3.2000000000000002E-3</v>
      </c>
      <c r="D275">
        <f t="shared" si="9"/>
        <v>-5.7446044691764557</v>
      </c>
    </row>
    <row r="276" spans="1:4" x14ac:dyDescent="0.35">
      <c r="A276">
        <v>274</v>
      </c>
      <c r="B276">
        <v>3.2</v>
      </c>
      <c r="C276">
        <f t="shared" si="8"/>
        <v>3.2000000000000002E-3</v>
      </c>
      <c r="D276">
        <f t="shared" si="9"/>
        <v>-5.7446044691764557</v>
      </c>
    </row>
    <row r="277" spans="1:4" x14ac:dyDescent="0.35">
      <c r="A277">
        <v>275</v>
      </c>
      <c r="B277">
        <v>3.1</v>
      </c>
      <c r="C277">
        <f t="shared" si="8"/>
        <v>3.0999999999999999E-3</v>
      </c>
      <c r="D277">
        <f t="shared" si="9"/>
        <v>-5.7763531674910364</v>
      </c>
    </row>
    <row r="278" spans="1:4" x14ac:dyDescent="0.35">
      <c r="A278">
        <v>276</v>
      </c>
      <c r="B278">
        <v>3.1</v>
      </c>
      <c r="C278">
        <f t="shared" si="8"/>
        <v>3.0999999999999999E-3</v>
      </c>
      <c r="D278">
        <f t="shared" si="9"/>
        <v>-5.7763531674910364</v>
      </c>
    </row>
    <row r="279" spans="1:4" x14ac:dyDescent="0.35">
      <c r="A279">
        <v>277</v>
      </c>
      <c r="B279">
        <v>3.2</v>
      </c>
      <c r="C279">
        <f t="shared" si="8"/>
        <v>3.2000000000000002E-3</v>
      </c>
      <c r="D279">
        <f t="shared" si="9"/>
        <v>-5.7446044691764557</v>
      </c>
    </row>
    <row r="280" spans="1:4" x14ac:dyDescent="0.35">
      <c r="A280">
        <v>278</v>
      </c>
      <c r="B280">
        <v>3.1</v>
      </c>
      <c r="C280">
        <f t="shared" si="8"/>
        <v>3.0999999999999999E-3</v>
      </c>
      <c r="D280">
        <f t="shared" si="9"/>
        <v>-5.7763531674910364</v>
      </c>
    </row>
    <row r="281" spans="1:4" x14ac:dyDescent="0.35">
      <c r="A281">
        <v>279</v>
      </c>
      <c r="B281">
        <v>3.2</v>
      </c>
      <c r="C281">
        <f t="shared" si="8"/>
        <v>3.2000000000000002E-3</v>
      </c>
      <c r="D281">
        <f t="shared" si="9"/>
        <v>-5.7446044691764557</v>
      </c>
    </row>
    <row r="282" spans="1:4" x14ac:dyDescent="0.35">
      <c r="A282">
        <v>280</v>
      </c>
      <c r="B282">
        <v>3.2</v>
      </c>
      <c r="C282">
        <f t="shared" si="8"/>
        <v>3.2000000000000002E-3</v>
      </c>
      <c r="D282">
        <f t="shared" si="9"/>
        <v>-5.7446044691764557</v>
      </c>
    </row>
    <row r="283" spans="1:4" x14ac:dyDescent="0.35">
      <c r="A283">
        <v>281</v>
      </c>
      <c r="B283">
        <v>3.1</v>
      </c>
      <c r="C283">
        <f t="shared" si="8"/>
        <v>3.0999999999999999E-3</v>
      </c>
      <c r="D283">
        <f t="shared" si="9"/>
        <v>-5.7763531674910364</v>
      </c>
    </row>
    <row r="284" spans="1:4" x14ac:dyDescent="0.35">
      <c r="A284">
        <v>282</v>
      </c>
      <c r="B284">
        <v>3.2</v>
      </c>
      <c r="C284">
        <f t="shared" si="8"/>
        <v>3.2000000000000002E-3</v>
      </c>
      <c r="D284">
        <f t="shared" si="9"/>
        <v>-5.7446044691764557</v>
      </c>
    </row>
    <row r="285" spans="1:4" x14ac:dyDescent="0.35">
      <c r="A285">
        <v>283</v>
      </c>
      <c r="B285">
        <v>3.2</v>
      </c>
      <c r="C285">
        <f t="shared" si="8"/>
        <v>3.2000000000000002E-3</v>
      </c>
      <c r="D285">
        <f t="shared" si="9"/>
        <v>-5.7446044691764557</v>
      </c>
    </row>
    <row r="286" spans="1:4" x14ac:dyDescent="0.35">
      <c r="A286">
        <v>284</v>
      </c>
      <c r="B286">
        <v>3.1</v>
      </c>
      <c r="C286">
        <f t="shared" si="8"/>
        <v>3.0999999999999999E-3</v>
      </c>
      <c r="D286">
        <f t="shared" si="9"/>
        <v>-5.7763531674910364</v>
      </c>
    </row>
    <row r="287" spans="1:4" x14ac:dyDescent="0.35">
      <c r="A287">
        <v>285</v>
      </c>
      <c r="B287">
        <v>3.1</v>
      </c>
      <c r="C287">
        <f t="shared" si="8"/>
        <v>3.0999999999999999E-3</v>
      </c>
      <c r="D287">
        <f t="shared" si="9"/>
        <v>-5.7763531674910364</v>
      </c>
    </row>
    <row r="288" spans="1:4" x14ac:dyDescent="0.35">
      <c r="A288">
        <v>286</v>
      </c>
      <c r="B288">
        <v>3</v>
      </c>
      <c r="C288">
        <f t="shared" si="8"/>
        <v>3.0000000000000001E-3</v>
      </c>
      <c r="D288">
        <f t="shared" si="9"/>
        <v>-5.8091429903140277</v>
      </c>
    </row>
    <row r="289" spans="1:4" x14ac:dyDescent="0.35">
      <c r="A289">
        <v>287</v>
      </c>
      <c r="B289">
        <v>3.1</v>
      </c>
      <c r="C289">
        <f t="shared" si="8"/>
        <v>3.0999999999999999E-3</v>
      </c>
      <c r="D289">
        <f t="shared" si="9"/>
        <v>-5.7763531674910364</v>
      </c>
    </row>
    <row r="290" spans="1:4" x14ac:dyDescent="0.35">
      <c r="A290">
        <v>288</v>
      </c>
      <c r="B290">
        <v>3.1</v>
      </c>
      <c r="C290">
        <f t="shared" si="8"/>
        <v>3.0999999999999999E-3</v>
      </c>
      <c r="D290">
        <f t="shared" si="9"/>
        <v>-5.7763531674910364</v>
      </c>
    </row>
    <row r="291" spans="1:4" x14ac:dyDescent="0.35">
      <c r="A291">
        <v>289</v>
      </c>
      <c r="B291">
        <v>3.1</v>
      </c>
      <c r="C291">
        <f t="shared" si="8"/>
        <v>3.0999999999999999E-3</v>
      </c>
      <c r="D291">
        <f t="shared" si="9"/>
        <v>-5.7763531674910364</v>
      </c>
    </row>
    <row r="292" spans="1:4" x14ac:dyDescent="0.35">
      <c r="A292">
        <v>290</v>
      </c>
      <c r="B292">
        <v>3.2</v>
      </c>
      <c r="C292">
        <f t="shared" si="8"/>
        <v>3.2000000000000002E-3</v>
      </c>
      <c r="D292">
        <f t="shared" si="9"/>
        <v>-5.7446044691764557</v>
      </c>
    </row>
    <row r="293" spans="1:4" x14ac:dyDescent="0.35">
      <c r="A293">
        <v>291</v>
      </c>
      <c r="B293">
        <v>3.1</v>
      </c>
      <c r="C293">
        <f t="shared" si="8"/>
        <v>3.0999999999999999E-3</v>
      </c>
      <c r="D293">
        <f t="shared" si="9"/>
        <v>-5.7763531674910364</v>
      </c>
    </row>
    <row r="294" spans="1:4" x14ac:dyDescent="0.35">
      <c r="A294">
        <v>292</v>
      </c>
      <c r="B294">
        <v>3.1</v>
      </c>
      <c r="C294">
        <f t="shared" si="8"/>
        <v>3.0999999999999999E-3</v>
      </c>
      <c r="D294">
        <f t="shared" si="9"/>
        <v>-5.7763531674910364</v>
      </c>
    </row>
    <row r="295" spans="1:4" x14ac:dyDescent="0.35">
      <c r="A295">
        <v>293</v>
      </c>
      <c r="B295">
        <v>3.1</v>
      </c>
      <c r="C295">
        <f t="shared" si="8"/>
        <v>3.0999999999999999E-3</v>
      </c>
      <c r="D295">
        <f t="shared" si="9"/>
        <v>-5.7763531674910364</v>
      </c>
    </row>
    <row r="296" spans="1:4" x14ac:dyDescent="0.35">
      <c r="A296">
        <v>294</v>
      </c>
      <c r="B296">
        <v>3</v>
      </c>
      <c r="C296">
        <f t="shared" si="8"/>
        <v>3.0000000000000001E-3</v>
      </c>
      <c r="D296">
        <f t="shared" si="9"/>
        <v>-5.8091429903140277</v>
      </c>
    </row>
    <row r="297" spans="1:4" x14ac:dyDescent="0.35">
      <c r="A297">
        <v>295</v>
      </c>
      <c r="B297">
        <v>3.1</v>
      </c>
      <c r="C297">
        <f t="shared" si="8"/>
        <v>3.0999999999999999E-3</v>
      </c>
      <c r="D297">
        <f t="shared" si="9"/>
        <v>-5.7763531674910364</v>
      </c>
    </row>
    <row r="298" spans="1:4" x14ac:dyDescent="0.35">
      <c r="A298">
        <v>296</v>
      </c>
      <c r="B298">
        <v>3.2</v>
      </c>
      <c r="C298">
        <f t="shared" si="8"/>
        <v>3.2000000000000002E-3</v>
      </c>
      <c r="D298">
        <f t="shared" si="9"/>
        <v>-5.7446044691764557</v>
      </c>
    </row>
    <row r="299" spans="1:4" x14ac:dyDescent="0.35">
      <c r="A299">
        <v>297</v>
      </c>
      <c r="B299">
        <v>3.1</v>
      </c>
      <c r="C299">
        <f t="shared" si="8"/>
        <v>3.0999999999999999E-3</v>
      </c>
      <c r="D299">
        <f t="shared" si="9"/>
        <v>-5.7763531674910364</v>
      </c>
    </row>
    <row r="300" spans="1:4" x14ac:dyDescent="0.35">
      <c r="A300">
        <v>298</v>
      </c>
      <c r="B300">
        <v>3.1</v>
      </c>
      <c r="C300">
        <f t="shared" si="8"/>
        <v>3.0999999999999999E-3</v>
      </c>
      <c r="D300">
        <f t="shared" si="9"/>
        <v>-5.7763531674910364</v>
      </c>
    </row>
    <row r="301" spans="1:4" x14ac:dyDescent="0.35">
      <c r="A301">
        <v>299</v>
      </c>
      <c r="B301">
        <v>3</v>
      </c>
      <c r="C301">
        <f t="shared" si="8"/>
        <v>3.0000000000000001E-3</v>
      </c>
      <c r="D301">
        <f t="shared" si="9"/>
        <v>-5.8091429903140277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61607-0781-4AB9-824A-3280A01B5ABF}">
  <dimension ref="A1:O122"/>
  <sheetViews>
    <sheetView topLeftCell="A13" zoomScale="115" zoomScaleNormal="115" workbookViewId="0">
      <selection activeCell="G23" sqref="G23"/>
    </sheetView>
  </sheetViews>
  <sheetFormatPr defaultRowHeight="14.5" x14ac:dyDescent="0.35"/>
  <cols>
    <col min="14" max="14" width="12.26953125" bestFit="1" customWidth="1"/>
    <col min="15" max="15" width="8.81640625" bestFit="1" customWidth="1"/>
  </cols>
  <sheetData>
    <row r="1" spans="1:14" x14ac:dyDescent="0.35">
      <c r="A1" t="s">
        <v>35</v>
      </c>
      <c r="B1" t="s">
        <v>36</v>
      </c>
      <c r="C1" t="s">
        <v>30</v>
      </c>
      <c r="D1" s="6" t="s">
        <v>1</v>
      </c>
      <c r="E1" t="s">
        <v>37</v>
      </c>
      <c r="F1" s="6" t="s">
        <v>40</v>
      </c>
      <c r="H1" t="s">
        <v>32</v>
      </c>
      <c r="I1" s="6" t="s">
        <v>31</v>
      </c>
      <c r="J1" t="s">
        <v>33</v>
      </c>
      <c r="K1" s="6" t="s">
        <v>34</v>
      </c>
      <c r="M1" s="3" t="s">
        <v>12</v>
      </c>
      <c r="N1" s="3" t="s">
        <v>13</v>
      </c>
    </row>
    <row r="2" spans="1:14" x14ac:dyDescent="0.35">
      <c r="A2">
        <v>0</v>
      </c>
      <c r="B2">
        <v>5.58</v>
      </c>
      <c r="C2">
        <f>B2/1000</f>
        <v>5.5799999999999999E-3</v>
      </c>
      <c r="D2">
        <f>0.01/1000</f>
        <v>1.0000000000000001E-5</v>
      </c>
      <c r="E2">
        <f t="shared" ref="E2:E33" si="0">LN(C2)</f>
        <v>-5.1885665025889178</v>
      </c>
      <c r="F2">
        <f>D2/C2</f>
        <v>1.792114695340502E-3</v>
      </c>
      <c r="H2">
        <v>3.09</v>
      </c>
      <c r="I2">
        <v>0.01</v>
      </c>
      <c r="J2" s="5">
        <f>M$2 * H2</f>
        <v>3.0899999999999999E-8</v>
      </c>
      <c r="K2" s="5">
        <f>J2 * ((N$2/M$2)^2 + (I2/H2)^2)^(1/2)</f>
        <v>1.5482328636222653E-9</v>
      </c>
      <c r="M2" s="2">
        <v>1E-8</v>
      </c>
      <c r="N2" s="2">
        <v>5.0000000000000003E-10</v>
      </c>
    </row>
    <row r="3" spans="1:14" x14ac:dyDescent="0.35">
      <c r="A3">
        <v>5</v>
      </c>
      <c r="B3">
        <v>5.6</v>
      </c>
      <c r="C3">
        <f t="shared" ref="C3:C66" si="1">B3/1000</f>
        <v>5.5999999999999999E-3</v>
      </c>
      <c r="D3">
        <f t="shared" ref="D3:D66" si="2">0.01/1000</f>
        <v>1.0000000000000001E-5</v>
      </c>
      <c r="E3">
        <f t="shared" si="0"/>
        <v>-5.1849886812410331</v>
      </c>
      <c r="F3">
        <f t="shared" ref="F3:F66" si="3">D3/C3</f>
        <v>1.7857142857142859E-3</v>
      </c>
    </row>
    <row r="4" spans="1:14" x14ac:dyDescent="0.35">
      <c r="A4">
        <v>10</v>
      </c>
      <c r="B4">
        <v>5.78</v>
      </c>
      <c r="C4">
        <f t="shared" si="1"/>
        <v>5.7800000000000004E-3</v>
      </c>
      <c r="D4">
        <f t="shared" si="2"/>
        <v>1.0000000000000001E-5</v>
      </c>
      <c r="E4">
        <f t="shared" si="0"/>
        <v>-5.1533515962978509</v>
      </c>
      <c r="F4">
        <f t="shared" si="3"/>
        <v>1.7301038062283738E-3</v>
      </c>
    </row>
    <row r="5" spans="1:14" x14ac:dyDescent="0.35">
      <c r="A5">
        <v>15</v>
      </c>
      <c r="B5">
        <v>5.82</v>
      </c>
      <c r="C5">
        <f t="shared" si="1"/>
        <v>5.8200000000000005E-3</v>
      </c>
      <c r="D5">
        <f t="shared" si="2"/>
        <v>1.0000000000000001E-5</v>
      </c>
      <c r="E5">
        <f t="shared" si="0"/>
        <v>-5.1464550172387904</v>
      </c>
      <c r="F5">
        <f t="shared" si="3"/>
        <v>1.718213058419244E-3</v>
      </c>
    </row>
    <row r="6" spans="1:14" x14ac:dyDescent="0.35">
      <c r="A6">
        <v>20</v>
      </c>
      <c r="B6">
        <v>5.73</v>
      </c>
      <c r="C6">
        <f t="shared" si="1"/>
        <v>5.7300000000000007E-3</v>
      </c>
      <c r="D6">
        <f t="shared" si="2"/>
        <v>1.0000000000000001E-5</v>
      </c>
      <c r="E6">
        <f t="shared" si="0"/>
        <v>-5.1620397482554887</v>
      </c>
      <c r="F6">
        <f t="shared" si="3"/>
        <v>1.745200698080279E-3</v>
      </c>
    </row>
    <row r="7" spans="1:14" x14ac:dyDescent="0.35">
      <c r="A7">
        <v>25</v>
      </c>
      <c r="B7">
        <v>5.81</v>
      </c>
      <c r="C7">
        <f t="shared" si="1"/>
        <v>5.8099999999999992E-3</v>
      </c>
      <c r="D7">
        <f t="shared" si="2"/>
        <v>1.0000000000000001E-5</v>
      </c>
      <c r="E7">
        <f t="shared" si="0"/>
        <v>-5.1481747081183169</v>
      </c>
      <c r="F7">
        <f t="shared" si="3"/>
        <v>1.7211703958691913E-3</v>
      </c>
    </row>
    <row r="8" spans="1:14" x14ac:dyDescent="0.35">
      <c r="A8">
        <v>30</v>
      </c>
      <c r="B8">
        <v>5.72</v>
      </c>
      <c r="C8">
        <f t="shared" si="1"/>
        <v>5.7199999999999994E-3</v>
      </c>
      <c r="D8">
        <f t="shared" si="2"/>
        <v>1.0000000000000001E-5</v>
      </c>
      <c r="E8">
        <f t="shared" si="0"/>
        <v>-5.1637864735904309</v>
      </c>
      <c r="F8">
        <f t="shared" si="3"/>
        <v>1.7482517482517487E-3</v>
      </c>
    </row>
    <row r="9" spans="1:14" x14ac:dyDescent="0.35">
      <c r="A9">
        <v>35</v>
      </c>
      <c r="B9">
        <v>5.63</v>
      </c>
      <c r="C9">
        <f t="shared" si="1"/>
        <v>5.6299999999999996E-3</v>
      </c>
      <c r="D9">
        <f t="shared" si="2"/>
        <v>1.0000000000000001E-5</v>
      </c>
      <c r="E9">
        <f t="shared" si="0"/>
        <v>-5.179645836830538</v>
      </c>
      <c r="F9">
        <f t="shared" si="3"/>
        <v>1.7761989342806397E-3</v>
      </c>
    </row>
    <row r="10" spans="1:14" x14ac:dyDescent="0.35">
      <c r="A10">
        <v>40</v>
      </c>
      <c r="B10">
        <v>5.63</v>
      </c>
      <c r="C10">
        <f t="shared" si="1"/>
        <v>5.6299999999999996E-3</v>
      </c>
      <c r="D10">
        <f t="shared" si="2"/>
        <v>1.0000000000000001E-5</v>
      </c>
      <c r="E10">
        <f t="shared" si="0"/>
        <v>-5.179645836830538</v>
      </c>
      <c r="F10">
        <f t="shared" si="3"/>
        <v>1.7761989342806397E-3</v>
      </c>
    </row>
    <row r="11" spans="1:14" x14ac:dyDescent="0.35">
      <c r="A11">
        <v>45</v>
      </c>
      <c r="B11">
        <v>5.56</v>
      </c>
      <c r="C11">
        <f t="shared" si="1"/>
        <v>5.5599999999999998E-3</v>
      </c>
      <c r="D11">
        <f t="shared" si="2"/>
        <v>1.0000000000000001E-5</v>
      </c>
      <c r="E11">
        <f t="shared" si="0"/>
        <v>-5.1921571707196463</v>
      </c>
      <c r="F11">
        <f t="shared" si="3"/>
        <v>1.7985611510791368E-3</v>
      </c>
    </row>
    <row r="12" spans="1:14" x14ac:dyDescent="0.35">
      <c r="A12">
        <v>50</v>
      </c>
      <c r="B12">
        <v>5.54</v>
      </c>
      <c r="C12">
        <f t="shared" si="1"/>
        <v>5.5399999999999998E-3</v>
      </c>
      <c r="D12">
        <f t="shared" si="2"/>
        <v>1.0000000000000001E-5</v>
      </c>
      <c r="E12">
        <f t="shared" si="0"/>
        <v>-5.1957607782229447</v>
      </c>
      <c r="F12">
        <f t="shared" si="3"/>
        <v>1.805054151624549E-3</v>
      </c>
    </row>
    <row r="13" spans="1:14" x14ac:dyDescent="0.35">
      <c r="A13">
        <v>55</v>
      </c>
      <c r="B13">
        <v>5.48</v>
      </c>
      <c r="C13">
        <f t="shared" si="1"/>
        <v>5.4800000000000005E-3</v>
      </c>
      <c r="D13">
        <f t="shared" si="2"/>
        <v>1.0000000000000001E-5</v>
      </c>
      <c r="E13">
        <f t="shared" si="0"/>
        <v>-5.2066501780222127</v>
      </c>
      <c r="F13">
        <f t="shared" si="3"/>
        <v>1.8248175182481751E-3</v>
      </c>
    </row>
    <row r="14" spans="1:14" x14ac:dyDescent="0.35">
      <c r="A14">
        <v>60</v>
      </c>
      <c r="B14">
        <v>5.44</v>
      </c>
      <c r="C14">
        <f t="shared" si="1"/>
        <v>5.4400000000000004E-3</v>
      </c>
      <c r="D14">
        <f t="shared" si="2"/>
        <v>1.0000000000000001E-5</v>
      </c>
      <c r="E14">
        <f t="shared" si="0"/>
        <v>-5.2139762181142855</v>
      </c>
      <c r="F14">
        <f t="shared" si="3"/>
        <v>1.838235294117647E-3</v>
      </c>
    </row>
    <row r="15" spans="1:14" x14ac:dyDescent="0.35">
      <c r="A15">
        <v>65</v>
      </c>
      <c r="B15">
        <v>5.41</v>
      </c>
      <c r="C15">
        <f t="shared" si="1"/>
        <v>5.4099999999999999E-3</v>
      </c>
      <c r="D15">
        <f t="shared" si="2"/>
        <v>1.0000000000000001E-5</v>
      </c>
      <c r="E15">
        <f t="shared" si="0"/>
        <v>-5.2195061861237466</v>
      </c>
      <c r="F15">
        <f t="shared" si="3"/>
        <v>1.8484288354898338E-3</v>
      </c>
    </row>
    <row r="16" spans="1:14" x14ac:dyDescent="0.35">
      <c r="A16">
        <v>70</v>
      </c>
      <c r="B16">
        <v>5.37</v>
      </c>
      <c r="C16">
        <f t="shared" si="1"/>
        <v>5.3699999999999998E-3</v>
      </c>
      <c r="D16">
        <f t="shared" si="2"/>
        <v>1.0000000000000001E-5</v>
      </c>
      <c r="E16">
        <f t="shared" si="0"/>
        <v>-5.2269273704613637</v>
      </c>
      <c r="F16">
        <f t="shared" si="3"/>
        <v>1.8621973929236501E-3</v>
      </c>
    </row>
    <row r="17" spans="1:15" x14ac:dyDescent="0.35">
      <c r="A17">
        <v>75</v>
      </c>
      <c r="B17">
        <v>5.41</v>
      </c>
      <c r="C17">
        <f t="shared" si="1"/>
        <v>5.4099999999999999E-3</v>
      </c>
      <c r="D17">
        <f t="shared" si="2"/>
        <v>1.0000000000000001E-5</v>
      </c>
      <c r="E17">
        <f t="shared" si="0"/>
        <v>-5.2195061861237466</v>
      </c>
      <c r="F17">
        <f t="shared" si="3"/>
        <v>1.8484288354898338E-3</v>
      </c>
    </row>
    <row r="18" spans="1:15" x14ac:dyDescent="0.35">
      <c r="A18">
        <v>80</v>
      </c>
      <c r="B18">
        <v>5.41</v>
      </c>
      <c r="C18">
        <f t="shared" si="1"/>
        <v>5.4099999999999999E-3</v>
      </c>
      <c r="D18">
        <f t="shared" si="2"/>
        <v>1.0000000000000001E-5</v>
      </c>
      <c r="E18">
        <f t="shared" si="0"/>
        <v>-5.2195061861237466</v>
      </c>
      <c r="F18">
        <f t="shared" si="3"/>
        <v>1.8484288354898338E-3</v>
      </c>
    </row>
    <row r="19" spans="1:15" x14ac:dyDescent="0.35">
      <c r="A19">
        <v>85</v>
      </c>
      <c r="B19">
        <v>5.33</v>
      </c>
      <c r="C19">
        <f t="shared" si="1"/>
        <v>5.3299999999999997E-3</v>
      </c>
      <c r="D19">
        <f t="shared" si="2"/>
        <v>1.0000000000000001E-5</v>
      </c>
      <c r="E19">
        <f t="shared" si="0"/>
        <v>-5.2344040408043844</v>
      </c>
      <c r="F19">
        <f t="shared" si="3"/>
        <v>1.8761726078799252E-3</v>
      </c>
    </row>
    <row r="20" spans="1:15" x14ac:dyDescent="0.35">
      <c r="A20">
        <v>90</v>
      </c>
      <c r="B20">
        <v>5.4</v>
      </c>
      <c r="C20">
        <f t="shared" si="1"/>
        <v>5.4000000000000003E-3</v>
      </c>
      <c r="D20">
        <f t="shared" si="2"/>
        <v>1.0000000000000001E-5</v>
      </c>
      <c r="E20">
        <f t="shared" si="0"/>
        <v>-5.2213563254119082</v>
      </c>
      <c r="F20">
        <f t="shared" si="3"/>
        <v>1.8518518518518519E-3</v>
      </c>
    </row>
    <row r="21" spans="1:15" x14ac:dyDescent="0.35">
      <c r="A21">
        <v>95</v>
      </c>
      <c r="B21">
        <v>5.18</v>
      </c>
      <c r="C21">
        <f t="shared" si="1"/>
        <v>5.1799999999999997E-3</v>
      </c>
      <c r="D21">
        <f t="shared" si="2"/>
        <v>1.0000000000000001E-5</v>
      </c>
      <c r="E21">
        <f t="shared" si="0"/>
        <v>-5.262950222710745</v>
      </c>
      <c r="F21">
        <f t="shared" si="3"/>
        <v>1.9305019305019308E-3</v>
      </c>
    </row>
    <row r="22" spans="1:15" x14ac:dyDescent="0.35">
      <c r="A22">
        <v>100</v>
      </c>
      <c r="B22">
        <v>5.38</v>
      </c>
      <c r="C22">
        <f t="shared" si="1"/>
        <v>5.3800000000000002E-3</v>
      </c>
      <c r="D22">
        <f t="shared" si="2"/>
        <v>1.0000000000000001E-5</v>
      </c>
      <c r="E22">
        <f t="shared" si="0"/>
        <v>-5.2250669048084442</v>
      </c>
      <c r="F22">
        <f t="shared" si="3"/>
        <v>1.858736059479554E-3</v>
      </c>
      <c r="N22" t="s">
        <v>15</v>
      </c>
      <c r="O22" t="s">
        <v>16</v>
      </c>
    </row>
    <row r="23" spans="1:15" x14ac:dyDescent="0.35">
      <c r="A23">
        <v>105</v>
      </c>
      <c r="B23">
        <v>5.26</v>
      </c>
      <c r="C23">
        <f t="shared" si="1"/>
        <v>5.2599999999999999E-3</v>
      </c>
      <c r="D23">
        <f t="shared" si="2"/>
        <v>1.0000000000000001E-5</v>
      </c>
      <c r="E23">
        <f t="shared" si="0"/>
        <v>-5.2476242522325185</v>
      </c>
      <c r="F23">
        <f t="shared" si="3"/>
        <v>1.9011406844106466E-3</v>
      </c>
      <c r="M23" t="s">
        <v>18</v>
      </c>
      <c r="N23">
        <f t="array" ref="N23:O24">LINEST(E2:E122,A2:A122,1,1)</f>
        <v>-6.5731713001041295E-4</v>
      </c>
      <c r="O23">
        <v>-5.1825945480456683</v>
      </c>
    </row>
    <row r="24" spans="1:15" x14ac:dyDescent="0.35">
      <c r="A24">
        <v>110</v>
      </c>
      <c r="B24">
        <v>5.19</v>
      </c>
      <c r="C24">
        <f t="shared" si="1"/>
        <v>5.1900000000000002E-3</v>
      </c>
      <c r="D24">
        <f t="shared" si="2"/>
        <v>1.0000000000000001E-5</v>
      </c>
      <c r="E24">
        <f t="shared" si="0"/>
        <v>-5.2610215818043393</v>
      </c>
      <c r="F24">
        <f t="shared" si="3"/>
        <v>1.926782273603083E-3</v>
      </c>
      <c r="M24" t="s">
        <v>13</v>
      </c>
      <c r="N24">
        <v>9.3021156349321852E-6</v>
      </c>
      <c r="O24">
        <v>3.2290536248134379E-3</v>
      </c>
    </row>
    <row r="25" spans="1:15" x14ac:dyDescent="0.35">
      <c r="A25">
        <v>115</v>
      </c>
      <c r="B25">
        <v>5.28</v>
      </c>
      <c r="C25">
        <f t="shared" si="1"/>
        <v>5.28E-3</v>
      </c>
      <c r="D25">
        <f t="shared" si="2"/>
        <v>1.0000000000000001E-5</v>
      </c>
      <c r="E25">
        <f t="shared" si="0"/>
        <v>-5.2438291812639672</v>
      </c>
      <c r="F25">
        <f t="shared" si="3"/>
        <v>1.8939393939393942E-3</v>
      </c>
    </row>
    <row r="26" spans="1:15" x14ac:dyDescent="0.35">
      <c r="A26">
        <v>120</v>
      </c>
      <c r="B26">
        <v>5.25</v>
      </c>
      <c r="C26">
        <f t="shared" si="1"/>
        <v>5.2500000000000003E-3</v>
      </c>
      <c r="D26">
        <f t="shared" si="2"/>
        <v>1.0000000000000001E-5</v>
      </c>
      <c r="E26">
        <f t="shared" si="0"/>
        <v>-5.249527202378605</v>
      </c>
      <c r="F26">
        <f t="shared" si="3"/>
        <v>1.9047619047619048E-3</v>
      </c>
    </row>
    <row r="27" spans="1:15" x14ac:dyDescent="0.35">
      <c r="A27">
        <v>125</v>
      </c>
      <c r="B27">
        <v>5.14</v>
      </c>
      <c r="C27">
        <f t="shared" si="1"/>
        <v>5.1399999999999996E-3</v>
      </c>
      <c r="D27">
        <f t="shared" si="2"/>
        <v>1.0000000000000001E-5</v>
      </c>
      <c r="E27">
        <f t="shared" si="0"/>
        <v>-5.2707021995150631</v>
      </c>
      <c r="F27">
        <f t="shared" si="3"/>
        <v>1.945525291828794E-3</v>
      </c>
    </row>
    <row r="28" spans="1:15" x14ac:dyDescent="0.35">
      <c r="A28">
        <v>130</v>
      </c>
      <c r="B28">
        <v>5.09</v>
      </c>
      <c r="C28">
        <f t="shared" si="1"/>
        <v>5.0899999999999999E-3</v>
      </c>
      <c r="D28">
        <f t="shared" si="2"/>
        <v>1.0000000000000001E-5</v>
      </c>
      <c r="E28">
        <f t="shared" si="0"/>
        <v>-5.2804774484197061</v>
      </c>
      <c r="F28">
        <f t="shared" si="3"/>
        <v>1.964636542239686E-3</v>
      </c>
    </row>
    <row r="29" spans="1:15" x14ac:dyDescent="0.35">
      <c r="A29">
        <v>135</v>
      </c>
      <c r="B29">
        <v>5.15</v>
      </c>
      <c r="C29">
        <f t="shared" si="1"/>
        <v>5.1500000000000001E-3</v>
      </c>
      <c r="D29">
        <f t="shared" si="2"/>
        <v>1.0000000000000001E-5</v>
      </c>
      <c r="E29">
        <f t="shared" si="0"/>
        <v>-5.2687585643064923</v>
      </c>
      <c r="F29">
        <f t="shared" si="3"/>
        <v>1.9417475728155341E-3</v>
      </c>
    </row>
    <row r="30" spans="1:15" x14ac:dyDescent="0.35">
      <c r="A30">
        <v>140</v>
      </c>
      <c r="B30">
        <v>5.09</v>
      </c>
      <c r="C30">
        <f t="shared" si="1"/>
        <v>5.0899999999999999E-3</v>
      </c>
      <c r="D30">
        <f t="shared" si="2"/>
        <v>1.0000000000000001E-5</v>
      </c>
      <c r="E30">
        <f t="shared" si="0"/>
        <v>-5.2804774484197061</v>
      </c>
      <c r="F30">
        <f t="shared" si="3"/>
        <v>1.964636542239686E-3</v>
      </c>
    </row>
    <row r="31" spans="1:15" x14ac:dyDescent="0.35">
      <c r="A31">
        <v>145</v>
      </c>
      <c r="B31">
        <v>4.96</v>
      </c>
      <c r="C31">
        <f t="shared" si="1"/>
        <v>4.96E-3</v>
      </c>
      <c r="D31">
        <f t="shared" si="2"/>
        <v>1.0000000000000001E-5</v>
      </c>
      <c r="E31">
        <f t="shared" si="0"/>
        <v>-5.3063495382453008</v>
      </c>
      <c r="F31">
        <f t="shared" si="3"/>
        <v>2.0161290322580649E-3</v>
      </c>
    </row>
    <row r="32" spans="1:15" x14ac:dyDescent="0.35">
      <c r="A32">
        <v>150</v>
      </c>
      <c r="B32">
        <v>4.96</v>
      </c>
      <c r="C32">
        <f t="shared" si="1"/>
        <v>4.96E-3</v>
      </c>
      <c r="D32">
        <f t="shared" si="2"/>
        <v>1.0000000000000001E-5</v>
      </c>
      <c r="E32">
        <f t="shared" si="0"/>
        <v>-5.3063495382453008</v>
      </c>
      <c r="F32">
        <f t="shared" si="3"/>
        <v>2.0161290322580649E-3</v>
      </c>
    </row>
    <row r="33" spans="1:6" x14ac:dyDescent="0.35">
      <c r="A33">
        <v>155</v>
      </c>
      <c r="B33">
        <v>5</v>
      </c>
      <c r="C33">
        <f t="shared" si="1"/>
        <v>5.0000000000000001E-3</v>
      </c>
      <c r="D33">
        <f t="shared" si="2"/>
        <v>1.0000000000000001E-5</v>
      </c>
      <c r="E33">
        <f t="shared" si="0"/>
        <v>-5.2983173665480363</v>
      </c>
      <c r="F33">
        <f t="shared" si="3"/>
        <v>2E-3</v>
      </c>
    </row>
    <row r="34" spans="1:6" x14ac:dyDescent="0.35">
      <c r="A34">
        <v>160</v>
      </c>
      <c r="B34">
        <v>4.8099999999999996</v>
      </c>
      <c r="C34">
        <f t="shared" si="1"/>
        <v>4.81E-3</v>
      </c>
      <c r="D34">
        <f t="shared" si="2"/>
        <v>1.0000000000000001E-5</v>
      </c>
      <c r="E34">
        <f t="shared" ref="E34:E65" si="4">LN(C34)</f>
        <v>-5.3370581948644675</v>
      </c>
      <c r="F34">
        <f t="shared" si="3"/>
        <v>2.0790020790020791E-3</v>
      </c>
    </row>
    <row r="35" spans="1:6" x14ac:dyDescent="0.35">
      <c r="A35">
        <v>165</v>
      </c>
      <c r="B35">
        <v>4.92</v>
      </c>
      <c r="C35">
        <f t="shared" si="1"/>
        <v>4.9199999999999999E-3</v>
      </c>
      <c r="D35">
        <f t="shared" si="2"/>
        <v>1.0000000000000001E-5</v>
      </c>
      <c r="E35">
        <f t="shared" si="4"/>
        <v>-5.3144467484779208</v>
      </c>
      <c r="F35">
        <f t="shared" si="3"/>
        <v>2.0325203252032522E-3</v>
      </c>
    </row>
    <row r="36" spans="1:6" x14ac:dyDescent="0.35">
      <c r="A36">
        <v>170</v>
      </c>
      <c r="B36">
        <v>4.95</v>
      </c>
      <c r="C36">
        <f t="shared" si="1"/>
        <v>4.9500000000000004E-3</v>
      </c>
      <c r="D36">
        <f t="shared" si="2"/>
        <v>1.0000000000000001E-5</v>
      </c>
      <c r="E36">
        <f t="shared" si="4"/>
        <v>-5.3083677024015383</v>
      </c>
      <c r="F36">
        <f t="shared" si="3"/>
        <v>2.0202020202020202E-3</v>
      </c>
    </row>
    <row r="37" spans="1:6" x14ac:dyDescent="0.35">
      <c r="A37">
        <v>175</v>
      </c>
      <c r="B37">
        <v>4.8</v>
      </c>
      <c r="C37">
        <f t="shared" si="1"/>
        <v>4.7999999999999996E-3</v>
      </c>
      <c r="D37">
        <f t="shared" si="2"/>
        <v>1.0000000000000001E-5</v>
      </c>
      <c r="E37">
        <f t="shared" si="4"/>
        <v>-5.339139361068292</v>
      </c>
      <c r="F37">
        <f t="shared" si="3"/>
        <v>2.0833333333333337E-3</v>
      </c>
    </row>
    <row r="38" spans="1:6" x14ac:dyDescent="0.35">
      <c r="A38">
        <v>180</v>
      </c>
      <c r="B38">
        <v>4.93</v>
      </c>
      <c r="C38">
        <f t="shared" si="1"/>
        <v>4.9299999999999995E-3</v>
      </c>
      <c r="D38">
        <f t="shared" si="2"/>
        <v>1.0000000000000001E-5</v>
      </c>
      <c r="E38">
        <f t="shared" si="4"/>
        <v>-5.3124162909275388</v>
      </c>
      <c r="F38">
        <f t="shared" si="3"/>
        <v>2.0283975659229213E-3</v>
      </c>
    </row>
    <row r="39" spans="1:6" x14ac:dyDescent="0.35">
      <c r="A39">
        <v>185</v>
      </c>
      <c r="B39">
        <v>4.87</v>
      </c>
      <c r="C39">
        <f t="shared" si="1"/>
        <v>4.8700000000000002E-3</v>
      </c>
      <c r="D39">
        <f t="shared" si="2"/>
        <v>1.0000000000000001E-5</v>
      </c>
      <c r="E39">
        <f t="shared" si="4"/>
        <v>-5.324661341887639</v>
      </c>
      <c r="F39">
        <f t="shared" si="3"/>
        <v>2.0533880903490761E-3</v>
      </c>
    </row>
    <row r="40" spans="1:6" x14ac:dyDescent="0.35">
      <c r="A40">
        <v>190</v>
      </c>
      <c r="B40">
        <v>4.9000000000000004</v>
      </c>
      <c r="C40">
        <f t="shared" si="1"/>
        <v>4.9000000000000007E-3</v>
      </c>
      <c r="D40">
        <f t="shared" si="2"/>
        <v>1.0000000000000001E-5</v>
      </c>
      <c r="E40">
        <f t="shared" si="4"/>
        <v>-5.3185200738655558</v>
      </c>
      <c r="F40">
        <f t="shared" si="3"/>
        <v>2.040816326530612E-3</v>
      </c>
    </row>
    <row r="41" spans="1:6" x14ac:dyDescent="0.35">
      <c r="A41">
        <v>195</v>
      </c>
      <c r="B41">
        <v>4.8499999999999996</v>
      </c>
      <c r="C41">
        <f t="shared" si="1"/>
        <v>4.8499999999999993E-3</v>
      </c>
      <c r="D41">
        <f t="shared" si="2"/>
        <v>1.0000000000000001E-5</v>
      </c>
      <c r="E41">
        <f t="shared" si="4"/>
        <v>-5.3287765740327453</v>
      </c>
      <c r="F41">
        <f t="shared" si="3"/>
        <v>2.0618556701030933E-3</v>
      </c>
    </row>
    <row r="42" spans="1:6" x14ac:dyDescent="0.35">
      <c r="A42">
        <v>200</v>
      </c>
      <c r="B42">
        <v>4.8099999999999996</v>
      </c>
      <c r="C42">
        <f t="shared" si="1"/>
        <v>4.81E-3</v>
      </c>
      <c r="D42">
        <f t="shared" si="2"/>
        <v>1.0000000000000001E-5</v>
      </c>
      <c r="E42">
        <f t="shared" si="4"/>
        <v>-5.3370581948644675</v>
      </c>
      <c r="F42">
        <f t="shared" si="3"/>
        <v>2.0790020790020791E-3</v>
      </c>
    </row>
    <row r="43" spans="1:6" x14ac:dyDescent="0.35">
      <c r="A43">
        <v>205</v>
      </c>
      <c r="B43">
        <v>4.75</v>
      </c>
      <c r="C43">
        <f t="shared" si="1"/>
        <v>4.7499999999999999E-3</v>
      </c>
      <c r="D43">
        <f t="shared" si="2"/>
        <v>1.0000000000000001E-5</v>
      </c>
      <c r="E43">
        <f t="shared" si="4"/>
        <v>-5.3496106609355873</v>
      </c>
      <c r="F43">
        <f t="shared" si="3"/>
        <v>2.1052631578947372E-3</v>
      </c>
    </row>
    <row r="44" spans="1:6" x14ac:dyDescent="0.35">
      <c r="A44">
        <v>210</v>
      </c>
      <c r="B44">
        <v>4.78</v>
      </c>
      <c r="C44">
        <f t="shared" si="1"/>
        <v>4.7800000000000004E-3</v>
      </c>
      <c r="D44">
        <f t="shared" si="2"/>
        <v>1.0000000000000001E-5</v>
      </c>
      <c r="E44">
        <f t="shared" si="4"/>
        <v>-5.3433147324787722</v>
      </c>
      <c r="F44">
        <f t="shared" si="3"/>
        <v>2.0920502092050207E-3</v>
      </c>
    </row>
    <row r="45" spans="1:6" x14ac:dyDescent="0.35">
      <c r="A45">
        <v>215</v>
      </c>
      <c r="B45">
        <v>4.7300000000000004</v>
      </c>
      <c r="C45">
        <f t="shared" si="1"/>
        <v>4.7300000000000007E-3</v>
      </c>
      <c r="D45">
        <f t="shared" si="2"/>
        <v>1.0000000000000001E-5</v>
      </c>
      <c r="E45">
        <f t="shared" si="4"/>
        <v>-5.3538300764782951</v>
      </c>
      <c r="F45">
        <f t="shared" si="3"/>
        <v>2.1141649048625789E-3</v>
      </c>
    </row>
    <row r="46" spans="1:6" x14ac:dyDescent="0.35">
      <c r="A46">
        <v>220</v>
      </c>
      <c r="B46">
        <v>4.7699999999999996</v>
      </c>
      <c r="C46">
        <f t="shared" si="1"/>
        <v>4.7699999999999999E-3</v>
      </c>
      <c r="D46">
        <f t="shared" si="2"/>
        <v>1.0000000000000001E-5</v>
      </c>
      <c r="E46">
        <f t="shared" si="4"/>
        <v>-5.3454089740818871</v>
      </c>
      <c r="F46">
        <f t="shared" si="3"/>
        <v>2.0964360587002098E-3</v>
      </c>
    </row>
    <row r="47" spans="1:6" x14ac:dyDescent="0.35">
      <c r="A47">
        <v>225</v>
      </c>
      <c r="B47">
        <v>4.66</v>
      </c>
      <c r="C47">
        <f t="shared" si="1"/>
        <v>4.6600000000000001E-3</v>
      </c>
      <c r="D47">
        <f t="shared" si="2"/>
        <v>1.0000000000000001E-5</v>
      </c>
      <c r="E47">
        <f t="shared" si="4"/>
        <v>-5.3687398308445822</v>
      </c>
      <c r="F47">
        <f t="shared" si="3"/>
        <v>2.1459227467811159E-3</v>
      </c>
    </row>
    <row r="48" spans="1:6" x14ac:dyDescent="0.35">
      <c r="A48">
        <v>230</v>
      </c>
      <c r="B48">
        <v>4.7</v>
      </c>
      <c r="C48">
        <f t="shared" si="1"/>
        <v>4.7000000000000002E-3</v>
      </c>
      <c r="D48">
        <f t="shared" si="2"/>
        <v>1.0000000000000001E-5</v>
      </c>
      <c r="E48">
        <f t="shared" si="4"/>
        <v>-5.3601927702661243</v>
      </c>
      <c r="F48">
        <f t="shared" si="3"/>
        <v>2.1276595744680851E-3</v>
      </c>
    </row>
    <row r="49" spans="1:6" x14ac:dyDescent="0.35">
      <c r="A49">
        <v>235</v>
      </c>
      <c r="B49">
        <v>4.76</v>
      </c>
      <c r="C49">
        <f t="shared" si="1"/>
        <v>4.7599999999999995E-3</v>
      </c>
      <c r="D49">
        <f t="shared" si="2"/>
        <v>1.0000000000000001E-5</v>
      </c>
      <c r="E49">
        <f t="shared" si="4"/>
        <v>-5.3475076107388082</v>
      </c>
      <c r="F49">
        <f t="shared" si="3"/>
        <v>2.1008403361344541E-3</v>
      </c>
    </row>
    <row r="50" spans="1:6" x14ac:dyDescent="0.35">
      <c r="A50">
        <v>240</v>
      </c>
      <c r="B50">
        <v>4.71</v>
      </c>
      <c r="C50">
        <f t="shared" si="1"/>
        <v>4.7099999999999998E-3</v>
      </c>
      <c r="D50">
        <f t="shared" si="2"/>
        <v>1.0000000000000001E-5</v>
      </c>
      <c r="E50">
        <f t="shared" si="4"/>
        <v>-5.3580673709538109</v>
      </c>
      <c r="F50">
        <f t="shared" si="3"/>
        <v>2.123142250530786E-3</v>
      </c>
    </row>
    <row r="51" spans="1:6" x14ac:dyDescent="0.35">
      <c r="A51">
        <v>245</v>
      </c>
      <c r="B51">
        <v>4.6900000000000004</v>
      </c>
      <c r="C51">
        <f t="shared" si="1"/>
        <v>4.6900000000000006E-3</v>
      </c>
      <c r="D51">
        <f t="shared" si="2"/>
        <v>1.0000000000000001E-5</v>
      </c>
      <c r="E51">
        <f t="shared" si="4"/>
        <v>-5.3623226965239486</v>
      </c>
      <c r="F51">
        <f t="shared" si="3"/>
        <v>2.1321961620469083E-3</v>
      </c>
    </row>
    <row r="52" spans="1:6" x14ac:dyDescent="0.35">
      <c r="A52">
        <v>250</v>
      </c>
      <c r="B52">
        <v>4.71</v>
      </c>
      <c r="C52">
        <f t="shared" si="1"/>
        <v>4.7099999999999998E-3</v>
      </c>
      <c r="D52">
        <f t="shared" si="2"/>
        <v>1.0000000000000001E-5</v>
      </c>
      <c r="E52">
        <f t="shared" si="4"/>
        <v>-5.3580673709538109</v>
      </c>
      <c r="F52">
        <f t="shared" si="3"/>
        <v>2.123142250530786E-3</v>
      </c>
    </row>
    <row r="53" spans="1:6" x14ac:dyDescent="0.35">
      <c r="A53">
        <v>255</v>
      </c>
      <c r="B53">
        <v>4.6900000000000004</v>
      </c>
      <c r="C53">
        <f t="shared" si="1"/>
        <v>4.6900000000000006E-3</v>
      </c>
      <c r="D53">
        <f t="shared" si="2"/>
        <v>1.0000000000000001E-5</v>
      </c>
      <c r="E53">
        <f t="shared" si="4"/>
        <v>-5.3623226965239486</v>
      </c>
      <c r="F53">
        <f t="shared" si="3"/>
        <v>2.1321961620469083E-3</v>
      </c>
    </row>
    <row r="54" spans="1:6" x14ac:dyDescent="0.35">
      <c r="A54">
        <v>260</v>
      </c>
      <c r="B54">
        <v>4.63</v>
      </c>
      <c r="C54">
        <f t="shared" si="1"/>
        <v>4.6299999999999996E-3</v>
      </c>
      <c r="D54">
        <f t="shared" si="2"/>
        <v>1.0000000000000001E-5</v>
      </c>
      <c r="E54">
        <f t="shared" si="4"/>
        <v>-5.3751984108839945</v>
      </c>
      <c r="F54">
        <f t="shared" si="3"/>
        <v>2.1598272138228947E-3</v>
      </c>
    </row>
    <row r="55" spans="1:6" x14ac:dyDescent="0.35">
      <c r="A55">
        <v>265</v>
      </c>
      <c r="B55">
        <v>4.6399999999999997</v>
      </c>
      <c r="C55">
        <f t="shared" si="1"/>
        <v>4.64E-3</v>
      </c>
      <c r="D55">
        <f t="shared" si="2"/>
        <v>1.0000000000000001E-5</v>
      </c>
      <c r="E55">
        <f t="shared" si="4"/>
        <v>-5.3730409127439733</v>
      </c>
      <c r="F55">
        <f t="shared" si="3"/>
        <v>2.1551724137931034E-3</v>
      </c>
    </row>
    <row r="56" spans="1:6" x14ac:dyDescent="0.35">
      <c r="A56">
        <v>270</v>
      </c>
      <c r="B56">
        <v>4.71</v>
      </c>
      <c r="C56">
        <f t="shared" si="1"/>
        <v>4.7099999999999998E-3</v>
      </c>
      <c r="D56">
        <f t="shared" si="2"/>
        <v>1.0000000000000001E-5</v>
      </c>
      <c r="E56">
        <f t="shared" si="4"/>
        <v>-5.3580673709538109</v>
      </c>
      <c r="F56">
        <f t="shared" si="3"/>
        <v>2.123142250530786E-3</v>
      </c>
    </row>
    <row r="57" spans="1:6" x14ac:dyDescent="0.35">
      <c r="A57">
        <v>275</v>
      </c>
      <c r="B57">
        <v>4.63</v>
      </c>
      <c r="C57">
        <f t="shared" si="1"/>
        <v>4.6299999999999996E-3</v>
      </c>
      <c r="D57">
        <f t="shared" si="2"/>
        <v>1.0000000000000001E-5</v>
      </c>
      <c r="E57">
        <f t="shared" si="4"/>
        <v>-5.3751984108839945</v>
      </c>
      <c r="F57">
        <f t="shared" si="3"/>
        <v>2.1598272138228947E-3</v>
      </c>
    </row>
    <row r="58" spans="1:6" x14ac:dyDescent="0.35">
      <c r="A58">
        <v>280</v>
      </c>
      <c r="B58">
        <v>4.6900000000000004</v>
      </c>
      <c r="C58">
        <f t="shared" si="1"/>
        <v>4.6900000000000006E-3</v>
      </c>
      <c r="D58">
        <f t="shared" si="2"/>
        <v>1.0000000000000001E-5</v>
      </c>
      <c r="E58">
        <f t="shared" si="4"/>
        <v>-5.3623226965239486</v>
      </c>
      <c r="F58">
        <f t="shared" si="3"/>
        <v>2.1321961620469083E-3</v>
      </c>
    </row>
    <row r="59" spans="1:6" x14ac:dyDescent="0.35">
      <c r="A59">
        <v>285</v>
      </c>
      <c r="B59">
        <v>4.6900000000000004</v>
      </c>
      <c r="C59">
        <f t="shared" si="1"/>
        <v>4.6900000000000006E-3</v>
      </c>
      <c r="D59">
        <f t="shared" si="2"/>
        <v>1.0000000000000001E-5</v>
      </c>
      <c r="E59">
        <f t="shared" si="4"/>
        <v>-5.3623226965239486</v>
      </c>
      <c r="F59">
        <f t="shared" si="3"/>
        <v>2.1321961620469083E-3</v>
      </c>
    </row>
    <row r="60" spans="1:6" x14ac:dyDescent="0.35">
      <c r="A60">
        <v>290</v>
      </c>
      <c r="B60">
        <v>4.58</v>
      </c>
      <c r="C60">
        <f t="shared" si="1"/>
        <v>4.5799999999999999E-3</v>
      </c>
      <c r="D60">
        <f t="shared" si="2"/>
        <v>1.0000000000000001E-5</v>
      </c>
      <c r="E60">
        <f t="shared" si="4"/>
        <v>-5.3860562808560433</v>
      </c>
      <c r="F60">
        <f t="shared" si="3"/>
        <v>2.1834061135371182E-3</v>
      </c>
    </row>
    <row r="61" spans="1:6" x14ac:dyDescent="0.35">
      <c r="A61">
        <v>295</v>
      </c>
      <c r="B61">
        <v>4.6399999999999997</v>
      </c>
      <c r="C61">
        <f t="shared" si="1"/>
        <v>4.64E-3</v>
      </c>
      <c r="D61">
        <f t="shared" si="2"/>
        <v>1.0000000000000001E-5</v>
      </c>
      <c r="E61">
        <f t="shared" si="4"/>
        <v>-5.3730409127439733</v>
      </c>
      <c r="F61">
        <f t="shared" si="3"/>
        <v>2.1551724137931034E-3</v>
      </c>
    </row>
    <row r="62" spans="1:6" x14ac:dyDescent="0.35">
      <c r="A62">
        <v>300</v>
      </c>
      <c r="B62">
        <v>4.53</v>
      </c>
      <c r="C62">
        <f t="shared" si="1"/>
        <v>4.5300000000000002E-3</v>
      </c>
      <c r="D62">
        <f t="shared" si="2"/>
        <v>1.0000000000000001E-5</v>
      </c>
      <c r="E62">
        <f t="shared" si="4"/>
        <v>-5.3970333394871943</v>
      </c>
      <c r="F62">
        <f t="shared" si="3"/>
        <v>2.2075055187637969E-3</v>
      </c>
    </row>
    <row r="63" spans="1:6" x14ac:dyDescent="0.35">
      <c r="A63">
        <v>305</v>
      </c>
      <c r="B63">
        <v>4.5599999999999996</v>
      </c>
      <c r="C63">
        <f t="shared" si="1"/>
        <v>4.5599999999999998E-3</v>
      </c>
      <c r="D63">
        <f t="shared" si="2"/>
        <v>1.0000000000000001E-5</v>
      </c>
      <c r="E63">
        <f t="shared" si="4"/>
        <v>-5.3904326554558422</v>
      </c>
      <c r="F63">
        <f t="shared" si="3"/>
        <v>2.1929824561403512E-3</v>
      </c>
    </row>
    <row r="64" spans="1:6" x14ac:dyDescent="0.35">
      <c r="A64">
        <v>310</v>
      </c>
      <c r="B64">
        <v>4.5599999999999996</v>
      </c>
      <c r="C64">
        <f t="shared" si="1"/>
        <v>4.5599999999999998E-3</v>
      </c>
      <c r="D64">
        <f t="shared" si="2"/>
        <v>1.0000000000000001E-5</v>
      </c>
      <c r="E64">
        <f t="shared" si="4"/>
        <v>-5.3904326554558422</v>
      </c>
      <c r="F64">
        <f t="shared" si="3"/>
        <v>2.1929824561403512E-3</v>
      </c>
    </row>
    <row r="65" spans="1:6" x14ac:dyDescent="0.35">
      <c r="A65">
        <v>315</v>
      </c>
      <c r="B65">
        <v>4.58</v>
      </c>
      <c r="C65">
        <f t="shared" si="1"/>
        <v>4.5799999999999999E-3</v>
      </c>
      <c r="D65">
        <f t="shared" si="2"/>
        <v>1.0000000000000001E-5</v>
      </c>
      <c r="E65">
        <f t="shared" si="4"/>
        <v>-5.3860562808560433</v>
      </c>
      <c r="F65">
        <f t="shared" si="3"/>
        <v>2.1834061135371182E-3</v>
      </c>
    </row>
    <row r="66" spans="1:6" x14ac:dyDescent="0.35">
      <c r="A66">
        <v>320</v>
      </c>
      <c r="B66">
        <v>4.58</v>
      </c>
      <c r="C66">
        <f t="shared" si="1"/>
        <v>4.5799999999999999E-3</v>
      </c>
      <c r="D66">
        <f t="shared" si="2"/>
        <v>1.0000000000000001E-5</v>
      </c>
      <c r="E66">
        <f t="shared" ref="E66:E97" si="5">LN(C66)</f>
        <v>-5.3860562808560433</v>
      </c>
      <c r="F66">
        <f t="shared" si="3"/>
        <v>2.1834061135371182E-3</v>
      </c>
    </row>
    <row r="67" spans="1:6" x14ac:dyDescent="0.35">
      <c r="A67">
        <v>325</v>
      </c>
      <c r="B67">
        <v>4.49</v>
      </c>
      <c r="C67">
        <f t="shared" ref="C67:C122" si="6">B67/1000</f>
        <v>4.4900000000000001E-3</v>
      </c>
      <c r="D67">
        <f t="shared" ref="D67:D122" si="7">0.01/1000</f>
        <v>1.0000000000000001E-5</v>
      </c>
      <c r="E67">
        <f t="shared" si="5"/>
        <v>-5.4059025772279741</v>
      </c>
      <c r="F67">
        <f t="shared" ref="F67:F121" si="8">D67/C67</f>
        <v>2.2271714922049001E-3</v>
      </c>
    </row>
    <row r="68" spans="1:6" x14ac:dyDescent="0.35">
      <c r="A68">
        <v>330</v>
      </c>
      <c r="B68">
        <v>4.49</v>
      </c>
      <c r="C68">
        <f t="shared" si="6"/>
        <v>4.4900000000000001E-3</v>
      </c>
      <c r="D68">
        <f t="shared" si="7"/>
        <v>1.0000000000000001E-5</v>
      </c>
      <c r="E68">
        <f t="shared" si="5"/>
        <v>-5.4059025772279741</v>
      </c>
      <c r="F68">
        <f t="shared" si="8"/>
        <v>2.2271714922049001E-3</v>
      </c>
    </row>
    <row r="69" spans="1:6" x14ac:dyDescent="0.35">
      <c r="A69">
        <v>335</v>
      </c>
      <c r="B69">
        <v>4.54</v>
      </c>
      <c r="C69">
        <f t="shared" si="6"/>
        <v>4.5399999999999998E-3</v>
      </c>
      <c r="D69">
        <f t="shared" si="7"/>
        <v>1.0000000000000001E-5</v>
      </c>
      <c r="E69">
        <f t="shared" si="5"/>
        <v>-5.3948282669288803</v>
      </c>
      <c r="F69">
        <f t="shared" si="8"/>
        <v>2.2026431718061676E-3</v>
      </c>
    </row>
    <row r="70" spans="1:6" x14ac:dyDescent="0.35">
      <c r="A70">
        <v>340</v>
      </c>
      <c r="B70">
        <v>4.51</v>
      </c>
      <c r="C70">
        <f t="shared" si="6"/>
        <v>4.5100000000000001E-3</v>
      </c>
      <c r="D70">
        <f t="shared" si="7"/>
        <v>1.0000000000000001E-5</v>
      </c>
      <c r="E70">
        <f t="shared" si="5"/>
        <v>-5.40145812546755</v>
      </c>
      <c r="F70">
        <f t="shared" si="8"/>
        <v>2.2172949002217295E-3</v>
      </c>
    </row>
    <row r="71" spans="1:6" x14ac:dyDescent="0.35">
      <c r="A71">
        <v>345</v>
      </c>
      <c r="B71">
        <v>4.3899999999999997</v>
      </c>
      <c r="C71">
        <f t="shared" si="6"/>
        <v>4.3899999999999998E-3</v>
      </c>
      <c r="D71">
        <f t="shared" si="7"/>
        <v>1.0000000000000001E-5</v>
      </c>
      <c r="E71">
        <f t="shared" si="5"/>
        <v>-5.4284260518950571</v>
      </c>
      <c r="F71">
        <f t="shared" si="8"/>
        <v>2.2779043280182236E-3</v>
      </c>
    </row>
    <row r="72" spans="1:6" x14ac:dyDescent="0.35">
      <c r="A72">
        <v>350</v>
      </c>
      <c r="B72">
        <v>4.3899999999999997</v>
      </c>
      <c r="C72">
        <f t="shared" si="6"/>
        <v>4.3899999999999998E-3</v>
      </c>
      <c r="D72">
        <f t="shared" si="7"/>
        <v>1.0000000000000001E-5</v>
      </c>
      <c r="E72">
        <f t="shared" si="5"/>
        <v>-5.4284260518950571</v>
      </c>
      <c r="F72">
        <f t="shared" si="8"/>
        <v>2.2779043280182236E-3</v>
      </c>
    </row>
    <row r="73" spans="1:6" x14ac:dyDescent="0.35">
      <c r="A73">
        <v>355</v>
      </c>
      <c r="B73">
        <v>4.47</v>
      </c>
      <c r="C73">
        <f t="shared" si="6"/>
        <v>4.47E-3</v>
      </c>
      <c r="D73">
        <f t="shared" si="7"/>
        <v>1.0000000000000001E-5</v>
      </c>
      <c r="E73">
        <f t="shared" si="5"/>
        <v>-5.4103668703566594</v>
      </c>
      <c r="F73">
        <f t="shared" si="8"/>
        <v>2.2371364653243852E-3</v>
      </c>
    </row>
    <row r="74" spans="1:6" x14ac:dyDescent="0.35">
      <c r="A74">
        <v>360</v>
      </c>
      <c r="B74">
        <v>4.47</v>
      </c>
      <c r="C74">
        <f t="shared" si="6"/>
        <v>4.47E-3</v>
      </c>
      <c r="D74">
        <f t="shared" si="7"/>
        <v>1.0000000000000001E-5</v>
      </c>
      <c r="E74">
        <f t="shared" si="5"/>
        <v>-5.4103668703566594</v>
      </c>
      <c r="F74">
        <f t="shared" si="8"/>
        <v>2.2371364653243852E-3</v>
      </c>
    </row>
    <row r="75" spans="1:6" x14ac:dyDescent="0.35">
      <c r="A75">
        <v>365</v>
      </c>
      <c r="B75">
        <v>4.43</v>
      </c>
      <c r="C75">
        <f t="shared" si="6"/>
        <v>4.4299999999999999E-3</v>
      </c>
      <c r="D75">
        <f t="shared" si="7"/>
        <v>1.0000000000000001E-5</v>
      </c>
      <c r="E75">
        <f t="shared" si="5"/>
        <v>-5.4193556949250929</v>
      </c>
      <c r="F75">
        <f t="shared" si="8"/>
        <v>2.2573363431151244E-3</v>
      </c>
    </row>
    <row r="76" spans="1:6" x14ac:dyDescent="0.35">
      <c r="A76">
        <v>370</v>
      </c>
      <c r="B76">
        <v>4.42</v>
      </c>
      <c r="C76">
        <f t="shared" si="6"/>
        <v>4.4200000000000003E-3</v>
      </c>
      <c r="D76">
        <f t="shared" si="7"/>
        <v>1.0000000000000001E-5</v>
      </c>
      <c r="E76">
        <f t="shared" si="5"/>
        <v>-5.4216155828925299</v>
      </c>
      <c r="F76">
        <f t="shared" si="8"/>
        <v>2.2624434389140274E-3</v>
      </c>
    </row>
    <row r="77" spans="1:6" x14ac:dyDescent="0.35">
      <c r="A77">
        <v>375</v>
      </c>
      <c r="B77">
        <v>4.3600000000000003</v>
      </c>
      <c r="C77">
        <f t="shared" si="6"/>
        <v>4.3600000000000002E-3</v>
      </c>
      <c r="D77">
        <f t="shared" si="7"/>
        <v>1.0000000000000001E-5</v>
      </c>
      <c r="E77">
        <f t="shared" si="5"/>
        <v>-5.4352832216211944</v>
      </c>
      <c r="F77">
        <f t="shared" si="8"/>
        <v>2.2935779816513763E-3</v>
      </c>
    </row>
    <row r="78" spans="1:6" x14ac:dyDescent="0.35">
      <c r="A78">
        <v>380</v>
      </c>
      <c r="B78">
        <v>4.37</v>
      </c>
      <c r="C78">
        <f t="shared" si="6"/>
        <v>4.3699999999999998E-3</v>
      </c>
      <c r="D78">
        <f t="shared" si="7"/>
        <v>1.0000000000000001E-5</v>
      </c>
      <c r="E78">
        <f t="shared" si="5"/>
        <v>-5.4329922698746387</v>
      </c>
      <c r="F78">
        <f t="shared" si="8"/>
        <v>2.2883295194508014E-3</v>
      </c>
    </row>
    <row r="79" spans="1:6" x14ac:dyDescent="0.35">
      <c r="A79">
        <v>385</v>
      </c>
      <c r="B79">
        <v>4.3099999999999996</v>
      </c>
      <c r="C79">
        <f t="shared" si="6"/>
        <v>4.3099999999999996E-3</v>
      </c>
      <c r="D79">
        <f t="shared" si="7"/>
        <v>1.0000000000000001E-5</v>
      </c>
      <c r="E79">
        <f t="shared" si="5"/>
        <v>-5.4468173748664803</v>
      </c>
      <c r="F79">
        <f t="shared" si="8"/>
        <v>2.3201856148491883E-3</v>
      </c>
    </row>
    <row r="80" spans="1:6" x14ac:dyDescent="0.35">
      <c r="A80">
        <v>390</v>
      </c>
      <c r="B80">
        <v>4.37</v>
      </c>
      <c r="C80">
        <f t="shared" si="6"/>
        <v>4.3699999999999998E-3</v>
      </c>
      <c r="D80">
        <f t="shared" si="7"/>
        <v>1.0000000000000001E-5</v>
      </c>
      <c r="E80">
        <f t="shared" si="5"/>
        <v>-5.4329922698746387</v>
      </c>
      <c r="F80">
        <f t="shared" si="8"/>
        <v>2.2883295194508014E-3</v>
      </c>
    </row>
    <row r="81" spans="1:6" x14ac:dyDescent="0.35">
      <c r="A81">
        <v>395</v>
      </c>
      <c r="B81">
        <v>4.3600000000000003</v>
      </c>
      <c r="C81">
        <f t="shared" si="6"/>
        <v>4.3600000000000002E-3</v>
      </c>
      <c r="D81">
        <f t="shared" si="7"/>
        <v>1.0000000000000001E-5</v>
      </c>
      <c r="E81">
        <f t="shared" si="5"/>
        <v>-5.4352832216211944</v>
      </c>
      <c r="F81">
        <f t="shared" si="8"/>
        <v>2.2935779816513763E-3</v>
      </c>
    </row>
    <row r="82" spans="1:6" x14ac:dyDescent="0.35">
      <c r="A82">
        <v>400</v>
      </c>
      <c r="B82">
        <v>4.3099999999999996</v>
      </c>
      <c r="C82">
        <f t="shared" si="6"/>
        <v>4.3099999999999996E-3</v>
      </c>
      <c r="D82">
        <f t="shared" si="7"/>
        <v>1.0000000000000001E-5</v>
      </c>
      <c r="E82">
        <f t="shared" si="5"/>
        <v>-5.4468173748664803</v>
      </c>
      <c r="F82">
        <f t="shared" si="8"/>
        <v>2.3201856148491883E-3</v>
      </c>
    </row>
    <row r="83" spans="1:6" x14ac:dyDescent="0.35">
      <c r="A83">
        <v>405</v>
      </c>
      <c r="B83">
        <v>4.42</v>
      </c>
      <c r="C83">
        <f t="shared" si="6"/>
        <v>4.4200000000000003E-3</v>
      </c>
      <c r="D83">
        <f t="shared" si="7"/>
        <v>1.0000000000000001E-5</v>
      </c>
      <c r="E83">
        <f t="shared" si="5"/>
        <v>-5.4216155828925299</v>
      </c>
      <c r="F83">
        <f t="shared" si="8"/>
        <v>2.2624434389140274E-3</v>
      </c>
    </row>
    <row r="84" spans="1:6" x14ac:dyDescent="0.35">
      <c r="A84">
        <v>410</v>
      </c>
      <c r="B84">
        <v>4.3499999999999996</v>
      </c>
      <c r="C84">
        <f t="shared" si="6"/>
        <v>4.3499999999999997E-3</v>
      </c>
      <c r="D84">
        <f t="shared" si="7"/>
        <v>1.0000000000000001E-5</v>
      </c>
      <c r="E84">
        <f t="shared" si="5"/>
        <v>-5.4375794338815444</v>
      </c>
      <c r="F84">
        <f t="shared" si="8"/>
        <v>2.2988505747126441E-3</v>
      </c>
    </row>
    <row r="85" spans="1:6" x14ac:dyDescent="0.35">
      <c r="A85">
        <v>415</v>
      </c>
      <c r="B85">
        <v>4.33</v>
      </c>
      <c r="C85">
        <f t="shared" si="6"/>
        <v>4.3299999999999996E-3</v>
      </c>
      <c r="D85">
        <f t="shared" si="7"/>
        <v>1.0000000000000001E-5</v>
      </c>
      <c r="E85">
        <f t="shared" si="5"/>
        <v>-5.4421877369677389</v>
      </c>
      <c r="F85">
        <f t="shared" si="8"/>
        <v>2.3094688221709011E-3</v>
      </c>
    </row>
    <row r="86" spans="1:6" x14ac:dyDescent="0.35">
      <c r="A86">
        <v>420</v>
      </c>
      <c r="B86">
        <v>4.26</v>
      </c>
      <c r="C86">
        <f t="shared" si="6"/>
        <v>4.2599999999999999E-3</v>
      </c>
      <c r="D86">
        <f t="shared" si="7"/>
        <v>1.0000000000000001E-5</v>
      </c>
      <c r="E86">
        <f t="shared" si="5"/>
        <v>-5.4584861187008578</v>
      </c>
      <c r="F86">
        <f t="shared" si="8"/>
        <v>2.3474178403755869E-3</v>
      </c>
    </row>
    <row r="87" spans="1:6" x14ac:dyDescent="0.35">
      <c r="A87">
        <v>425</v>
      </c>
      <c r="B87">
        <v>4.29</v>
      </c>
      <c r="C87">
        <f t="shared" si="6"/>
        <v>4.2900000000000004E-3</v>
      </c>
      <c r="D87">
        <f t="shared" si="7"/>
        <v>1.0000000000000001E-5</v>
      </c>
      <c r="E87">
        <f t="shared" si="5"/>
        <v>-5.4514685460422116</v>
      </c>
      <c r="F87">
        <f t="shared" si="8"/>
        <v>2.331002331002331E-3</v>
      </c>
    </row>
    <row r="88" spans="1:6" x14ac:dyDescent="0.35">
      <c r="A88">
        <v>430</v>
      </c>
      <c r="B88">
        <v>4.28</v>
      </c>
      <c r="C88">
        <f t="shared" si="6"/>
        <v>4.28E-3</v>
      </c>
      <c r="D88">
        <f t="shared" si="7"/>
        <v>1.0000000000000001E-5</v>
      </c>
      <c r="E88">
        <f t="shared" si="5"/>
        <v>-5.453802269388432</v>
      </c>
      <c r="F88">
        <f t="shared" si="8"/>
        <v>2.3364485981308414E-3</v>
      </c>
    </row>
    <row r="89" spans="1:6" x14ac:dyDescent="0.35">
      <c r="A89">
        <v>435</v>
      </c>
      <c r="B89">
        <v>4.2300000000000004</v>
      </c>
      <c r="C89">
        <f t="shared" si="6"/>
        <v>4.2300000000000003E-3</v>
      </c>
      <c r="D89">
        <f t="shared" si="7"/>
        <v>1.0000000000000001E-5</v>
      </c>
      <c r="E89">
        <f t="shared" si="5"/>
        <v>-5.4655532859239502</v>
      </c>
      <c r="F89">
        <f t="shared" si="8"/>
        <v>2.3640661938534278E-3</v>
      </c>
    </row>
    <row r="90" spans="1:6" x14ac:dyDescent="0.35">
      <c r="A90">
        <v>440</v>
      </c>
      <c r="B90">
        <v>4.13</v>
      </c>
      <c r="C90">
        <f t="shared" si="6"/>
        <v>4.13E-3</v>
      </c>
      <c r="D90">
        <f t="shared" si="7"/>
        <v>1.0000000000000001E-5</v>
      </c>
      <c r="E90">
        <f t="shared" si="5"/>
        <v>-5.4894778720091955</v>
      </c>
      <c r="F90">
        <f t="shared" si="8"/>
        <v>2.4213075060532689E-3</v>
      </c>
    </row>
    <row r="91" spans="1:6" x14ac:dyDescent="0.35">
      <c r="A91">
        <v>445</v>
      </c>
      <c r="B91">
        <v>4.1100000000000003</v>
      </c>
      <c r="C91">
        <f t="shared" si="6"/>
        <v>4.1099999999999999E-3</v>
      </c>
      <c r="D91">
        <f t="shared" si="7"/>
        <v>1.0000000000000001E-5</v>
      </c>
      <c r="E91">
        <f t="shared" si="5"/>
        <v>-5.4943322504739935</v>
      </c>
      <c r="F91">
        <f t="shared" si="8"/>
        <v>2.4330900243309003E-3</v>
      </c>
    </row>
    <row r="92" spans="1:6" x14ac:dyDescent="0.35">
      <c r="A92">
        <v>450</v>
      </c>
      <c r="B92">
        <v>4.17</v>
      </c>
      <c r="C92">
        <f t="shared" si="6"/>
        <v>4.1700000000000001E-3</v>
      </c>
      <c r="D92">
        <f t="shared" si="7"/>
        <v>1.0000000000000001E-5</v>
      </c>
      <c r="E92">
        <f t="shared" si="5"/>
        <v>-5.4798392431714271</v>
      </c>
      <c r="F92">
        <f t="shared" si="8"/>
        <v>2.3980815347721825E-3</v>
      </c>
    </row>
    <row r="93" spans="1:6" x14ac:dyDescent="0.35">
      <c r="A93">
        <v>455</v>
      </c>
      <c r="B93">
        <v>4.21</v>
      </c>
      <c r="C93">
        <f t="shared" si="6"/>
        <v>4.2100000000000002E-3</v>
      </c>
      <c r="D93">
        <f t="shared" si="7"/>
        <v>1.0000000000000001E-5</v>
      </c>
      <c r="E93">
        <f t="shared" si="5"/>
        <v>-5.4702926312878466</v>
      </c>
      <c r="F93">
        <f t="shared" si="8"/>
        <v>2.3752969121140144E-3</v>
      </c>
    </row>
    <row r="94" spans="1:6" x14ac:dyDescent="0.35">
      <c r="A94">
        <v>460</v>
      </c>
      <c r="B94">
        <v>4.1900000000000004</v>
      </c>
      <c r="C94">
        <f t="shared" si="6"/>
        <v>4.1900000000000001E-3</v>
      </c>
      <c r="D94">
        <f t="shared" si="7"/>
        <v>1.0000000000000001E-5</v>
      </c>
      <c r="E94">
        <f t="shared" si="5"/>
        <v>-5.4750545450480903</v>
      </c>
      <c r="F94">
        <f t="shared" si="8"/>
        <v>2.3866348448687352E-3</v>
      </c>
    </row>
    <row r="95" spans="1:6" x14ac:dyDescent="0.35">
      <c r="A95">
        <v>465</v>
      </c>
      <c r="B95">
        <v>4.0599999999999996</v>
      </c>
      <c r="C95">
        <f t="shared" si="6"/>
        <v>4.0599999999999994E-3</v>
      </c>
      <c r="D95">
        <f t="shared" si="7"/>
        <v>1.0000000000000001E-5</v>
      </c>
      <c r="E95">
        <f t="shared" si="5"/>
        <v>-5.5065723053684961</v>
      </c>
      <c r="F95">
        <f t="shared" si="8"/>
        <v>2.4630541871921187E-3</v>
      </c>
    </row>
    <row r="96" spans="1:6" x14ac:dyDescent="0.35">
      <c r="A96">
        <v>470</v>
      </c>
      <c r="B96">
        <v>4.12</v>
      </c>
      <c r="C96">
        <f t="shared" si="6"/>
        <v>4.1200000000000004E-3</v>
      </c>
      <c r="D96">
        <f t="shared" si="7"/>
        <v>1.0000000000000001E-5</v>
      </c>
      <c r="E96">
        <f t="shared" si="5"/>
        <v>-5.491902115620702</v>
      </c>
      <c r="F96">
        <f t="shared" si="8"/>
        <v>2.4271844660194173E-3</v>
      </c>
    </row>
    <row r="97" spans="1:6" x14ac:dyDescent="0.35">
      <c r="A97">
        <v>475</v>
      </c>
      <c r="B97">
        <v>4.05</v>
      </c>
      <c r="C97">
        <f t="shared" si="6"/>
        <v>4.0499999999999998E-3</v>
      </c>
      <c r="D97">
        <f t="shared" si="7"/>
        <v>1.0000000000000001E-5</v>
      </c>
      <c r="E97">
        <f t="shared" si="5"/>
        <v>-5.509038397863689</v>
      </c>
      <c r="F97">
        <f t="shared" si="8"/>
        <v>2.4691358024691362E-3</v>
      </c>
    </row>
    <row r="98" spans="1:6" x14ac:dyDescent="0.35">
      <c r="A98">
        <v>480</v>
      </c>
      <c r="B98">
        <v>4.08</v>
      </c>
      <c r="C98">
        <f t="shared" si="6"/>
        <v>4.0800000000000003E-3</v>
      </c>
      <c r="D98">
        <f t="shared" si="7"/>
        <v>1.0000000000000001E-5</v>
      </c>
      <c r="E98">
        <f t="shared" ref="E98:E122" si="9">LN(C98)</f>
        <v>-5.5016582905660663</v>
      </c>
      <c r="F98">
        <f t="shared" si="8"/>
        <v>2.4509803921568627E-3</v>
      </c>
    </row>
    <row r="99" spans="1:6" x14ac:dyDescent="0.35">
      <c r="A99">
        <v>485</v>
      </c>
      <c r="B99">
        <v>4.0599999999999996</v>
      </c>
      <c r="C99">
        <f t="shared" si="6"/>
        <v>4.0599999999999994E-3</v>
      </c>
      <c r="D99">
        <f t="shared" si="7"/>
        <v>1.0000000000000001E-5</v>
      </c>
      <c r="E99">
        <f t="shared" si="9"/>
        <v>-5.5065723053684961</v>
      </c>
      <c r="F99">
        <f t="shared" si="8"/>
        <v>2.4630541871921187E-3</v>
      </c>
    </row>
    <row r="100" spans="1:6" x14ac:dyDescent="0.35">
      <c r="A100">
        <v>490</v>
      </c>
      <c r="B100">
        <v>4.1500000000000004</v>
      </c>
      <c r="C100">
        <f t="shared" si="6"/>
        <v>4.15E-3</v>
      </c>
      <c r="D100">
        <f t="shared" si="7"/>
        <v>1.0000000000000001E-5</v>
      </c>
      <c r="E100">
        <f t="shared" si="9"/>
        <v>-5.4846469447395299</v>
      </c>
      <c r="F100">
        <f t="shared" si="8"/>
        <v>2.4096385542168677E-3</v>
      </c>
    </row>
    <row r="101" spans="1:6" x14ac:dyDescent="0.35">
      <c r="A101">
        <v>495</v>
      </c>
      <c r="B101">
        <v>4.1500000000000004</v>
      </c>
      <c r="C101">
        <f t="shared" si="6"/>
        <v>4.15E-3</v>
      </c>
      <c r="D101">
        <f t="shared" si="7"/>
        <v>1.0000000000000001E-5</v>
      </c>
      <c r="E101">
        <f t="shared" si="9"/>
        <v>-5.4846469447395299</v>
      </c>
      <c r="F101">
        <f t="shared" si="8"/>
        <v>2.4096385542168677E-3</v>
      </c>
    </row>
    <row r="102" spans="1:6" x14ac:dyDescent="0.35">
      <c r="A102">
        <v>500</v>
      </c>
      <c r="B102">
        <v>4.04</v>
      </c>
      <c r="C102">
        <f t="shared" si="6"/>
        <v>4.0400000000000002E-3</v>
      </c>
      <c r="D102">
        <f t="shared" si="7"/>
        <v>1.0000000000000001E-5</v>
      </c>
      <c r="E102">
        <f t="shared" si="9"/>
        <v>-5.5115105870090781</v>
      </c>
      <c r="F102">
        <f t="shared" si="8"/>
        <v>2.4752475247524753E-3</v>
      </c>
    </row>
    <row r="103" spans="1:6" x14ac:dyDescent="0.35">
      <c r="A103">
        <v>505</v>
      </c>
      <c r="B103">
        <v>4.08</v>
      </c>
      <c r="C103">
        <f t="shared" si="6"/>
        <v>4.0800000000000003E-3</v>
      </c>
      <c r="D103">
        <f t="shared" si="7"/>
        <v>1.0000000000000001E-5</v>
      </c>
      <c r="E103">
        <f t="shared" si="9"/>
        <v>-5.5016582905660663</v>
      </c>
      <c r="F103">
        <f t="shared" si="8"/>
        <v>2.4509803921568627E-3</v>
      </c>
    </row>
    <row r="104" spans="1:6" x14ac:dyDescent="0.35">
      <c r="A104">
        <v>510</v>
      </c>
      <c r="B104">
        <v>4.0599999999999996</v>
      </c>
      <c r="C104">
        <f t="shared" si="6"/>
        <v>4.0599999999999994E-3</v>
      </c>
      <c r="D104">
        <f t="shared" si="7"/>
        <v>1.0000000000000001E-5</v>
      </c>
      <c r="E104">
        <f t="shared" si="9"/>
        <v>-5.5065723053684961</v>
      </c>
      <c r="F104">
        <f t="shared" si="8"/>
        <v>2.4630541871921187E-3</v>
      </c>
    </row>
    <row r="105" spans="1:6" x14ac:dyDescent="0.35">
      <c r="A105">
        <v>515</v>
      </c>
      <c r="B105">
        <v>4.05</v>
      </c>
      <c r="C105">
        <f t="shared" si="6"/>
        <v>4.0499999999999998E-3</v>
      </c>
      <c r="D105">
        <f t="shared" si="7"/>
        <v>1.0000000000000001E-5</v>
      </c>
      <c r="E105">
        <f t="shared" si="9"/>
        <v>-5.509038397863689</v>
      </c>
      <c r="F105">
        <f t="shared" si="8"/>
        <v>2.4691358024691362E-3</v>
      </c>
    </row>
    <row r="106" spans="1:6" x14ac:dyDescent="0.35">
      <c r="A106">
        <v>520</v>
      </c>
      <c r="B106">
        <v>4</v>
      </c>
      <c r="C106">
        <f t="shared" si="6"/>
        <v>4.0000000000000001E-3</v>
      </c>
      <c r="D106">
        <f t="shared" si="7"/>
        <v>1.0000000000000001E-5</v>
      </c>
      <c r="E106">
        <f t="shared" si="9"/>
        <v>-5.521460917862246</v>
      </c>
      <c r="F106">
        <f t="shared" si="8"/>
        <v>2.5000000000000001E-3</v>
      </c>
    </row>
    <row r="107" spans="1:6" x14ac:dyDescent="0.35">
      <c r="A107">
        <v>525</v>
      </c>
      <c r="B107">
        <v>4.09</v>
      </c>
      <c r="C107">
        <f t="shared" si="6"/>
        <v>4.0899999999999999E-3</v>
      </c>
      <c r="D107">
        <f t="shared" si="7"/>
        <v>1.0000000000000001E-5</v>
      </c>
      <c r="E107">
        <f t="shared" si="9"/>
        <v>-5.4992103089274265</v>
      </c>
      <c r="F107">
        <f t="shared" si="8"/>
        <v>2.4449877750611251E-3</v>
      </c>
    </row>
    <row r="108" spans="1:6" x14ac:dyDescent="0.35">
      <c r="A108">
        <v>530</v>
      </c>
      <c r="B108">
        <v>4.0199999999999996</v>
      </c>
      <c r="C108">
        <f t="shared" si="6"/>
        <v>4.0199999999999993E-3</v>
      </c>
      <c r="D108">
        <f t="shared" si="7"/>
        <v>1.0000000000000001E-5</v>
      </c>
      <c r="E108">
        <f t="shared" si="9"/>
        <v>-5.5164733763512075</v>
      </c>
      <c r="F108">
        <f t="shared" si="8"/>
        <v>2.4875621890547272E-3</v>
      </c>
    </row>
    <row r="109" spans="1:6" x14ac:dyDescent="0.35">
      <c r="A109">
        <v>535</v>
      </c>
      <c r="B109">
        <v>4.03</v>
      </c>
      <c r="C109">
        <f t="shared" si="6"/>
        <v>4.0300000000000006E-3</v>
      </c>
      <c r="D109">
        <f t="shared" si="7"/>
        <v>1.0000000000000001E-5</v>
      </c>
      <c r="E109">
        <f t="shared" si="9"/>
        <v>-5.5139889030235452</v>
      </c>
      <c r="F109">
        <f t="shared" si="8"/>
        <v>2.4813895781637717E-3</v>
      </c>
    </row>
    <row r="110" spans="1:6" x14ac:dyDescent="0.35">
      <c r="A110">
        <v>540</v>
      </c>
      <c r="B110">
        <v>4.0199999999999996</v>
      </c>
      <c r="C110">
        <f t="shared" si="6"/>
        <v>4.0199999999999993E-3</v>
      </c>
      <c r="D110">
        <f t="shared" si="7"/>
        <v>1.0000000000000001E-5</v>
      </c>
      <c r="E110">
        <f t="shared" si="9"/>
        <v>-5.5164733763512075</v>
      </c>
      <c r="F110">
        <f t="shared" si="8"/>
        <v>2.4875621890547272E-3</v>
      </c>
    </row>
    <row r="111" spans="1:6" x14ac:dyDescent="0.35">
      <c r="A111">
        <v>545</v>
      </c>
      <c r="B111">
        <v>3.91</v>
      </c>
      <c r="C111">
        <f t="shared" si="6"/>
        <v>3.9100000000000003E-3</v>
      </c>
      <c r="D111">
        <f t="shared" si="7"/>
        <v>1.0000000000000001E-5</v>
      </c>
      <c r="E111">
        <f t="shared" si="9"/>
        <v>-5.5442179049848628</v>
      </c>
      <c r="F111">
        <f t="shared" si="8"/>
        <v>2.5575447570332483E-3</v>
      </c>
    </row>
    <row r="112" spans="1:6" x14ac:dyDescent="0.35">
      <c r="A112">
        <v>550</v>
      </c>
      <c r="B112">
        <v>3.98</v>
      </c>
      <c r="C112">
        <f t="shared" si="6"/>
        <v>3.98E-3</v>
      </c>
      <c r="D112">
        <f t="shared" si="7"/>
        <v>1.0000000000000001E-5</v>
      </c>
      <c r="E112">
        <f t="shared" si="9"/>
        <v>-5.526473459685791</v>
      </c>
      <c r="F112">
        <f t="shared" si="8"/>
        <v>2.5125628140703518E-3</v>
      </c>
    </row>
    <row r="113" spans="1:6" x14ac:dyDescent="0.35">
      <c r="A113">
        <v>555</v>
      </c>
      <c r="B113">
        <v>3.93</v>
      </c>
      <c r="C113">
        <f t="shared" si="6"/>
        <v>3.9300000000000003E-3</v>
      </c>
      <c r="D113">
        <f t="shared" si="7"/>
        <v>1.0000000000000001E-5</v>
      </c>
      <c r="E113">
        <f t="shared" si="9"/>
        <v>-5.5391158531009674</v>
      </c>
      <c r="F113">
        <f t="shared" si="8"/>
        <v>2.5445292620865142E-3</v>
      </c>
    </row>
    <row r="114" spans="1:6" x14ac:dyDescent="0.35">
      <c r="A114">
        <v>560</v>
      </c>
      <c r="B114">
        <v>3.92</v>
      </c>
      <c r="C114">
        <f t="shared" si="6"/>
        <v>3.9199999999999999E-3</v>
      </c>
      <c r="D114">
        <f t="shared" si="7"/>
        <v>1.0000000000000001E-5</v>
      </c>
      <c r="E114">
        <f t="shared" si="9"/>
        <v>-5.5416636251797655</v>
      </c>
      <c r="F114">
        <f t="shared" si="8"/>
        <v>2.5510204081632655E-3</v>
      </c>
    </row>
    <row r="115" spans="1:6" x14ac:dyDescent="0.35">
      <c r="A115">
        <v>565</v>
      </c>
      <c r="B115">
        <v>3.87</v>
      </c>
      <c r="C115">
        <f t="shared" si="6"/>
        <v>3.8700000000000002E-3</v>
      </c>
      <c r="D115">
        <f t="shared" si="7"/>
        <v>1.0000000000000001E-5</v>
      </c>
      <c r="E115">
        <f t="shared" si="9"/>
        <v>-5.5545007719404467</v>
      </c>
      <c r="F115">
        <f t="shared" si="8"/>
        <v>2.5839793281653748E-3</v>
      </c>
    </row>
    <row r="116" spans="1:6" x14ac:dyDescent="0.35">
      <c r="A116">
        <v>570</v>
      </c>
      <c r="B116">
        <v>3.81</v>
      </c>
      <c r="C116">
        <f t="shared" si="6"/>
        <v>3.81E-3</v>
      </c>
      <c r="D116">
        <f t="shared" si="7"/>
        <v>1.0000000000000001E-5</v>
      </c>
      <c r="E116">
        <f t="shared" si="9"/>
        <v>-5.5701260898435274</v>
      </c>
      <c r="F116">
        <f t="shared" si="8"/>
        <v>2.6246719160104991E-3</v>
      </c>
    </row>
    <row r="117" spans="1:6" x14ac:dyDescent="0.35">
      <c r="A117">
        <v>575</v>
      </c>
      <c r="B117">
        <v>3.86</v>
      </c>
      <c r="C117">
        <f t="shared" si="6"/>
        <v>3.8599999999999997E-3</v>
      </c>
      <c r="D117">
        <f t="shared" si="7"/>
        <v>1.0000000000000001E-5</v>
      </c>
      <c r="E117">
        <f t="shared" si="9"/>
        <v>-5.5570880955053976</v>
      </c>
      <c r="F117">
        <f t="shared" si="8"/>
        <v>2.5906735751295342E-3</v>
      </c>
    </row>
    <row r="118" spans="1:6" x14ac:dyDescent="0.35">
      <c r="A118">
        <v>580</v>
      </c>
      <c r="B118">
        <v>3.77</v>
      </c>
      <c r="C118">
        <f t="shared" si="6"/>
        <v>3.7699999999999999E-3</v>
      </c>
      <c r="D118">
        <f t="shared" si="7"/>
        <v>1.0000000000000001E-5</v>
      </c>
      <c r="E118">
        <f t="shared" si="9"/>
        <v>-5.5806802775222177</v>
      </c>
      <c r="F118">
        <f t="shared" si="8"/>
        <v>2.6525198938992045E-3</v>
      </c>
    </row>
    <row r="119" spans="1:6" x14ac:dyDescent="0.35">
      <c r="A119">
        <v>585</v>
      </c>
      <c r="B119">
        <v>3.86</v>
      </c>
      <c r="C119">
        <f t="shared" si="6"/>
        <v>3.8599999999999997E-3</v>
      </c>
      <c r="D119">
        <f t="shared" si="7"/>
        <v>1.0000000000000001E-5</v>
      </c>
      <c r="E119">
        <f t="shared" si="9"/>
        <v>-5.5570880955053976</v>
      </c>
      <c r="F119">
        <f t="shared" si="8"/>
        <v>2.5906735751295342E-3</v>
      </c>
    </row>
    <row r="120" spans="1:6" x14ac:dyDescent="0.35">
      <c r="A120">
        <v>590</v>
      </c>
      <c r="B120">
        <v>3.8</v>
      </c>
      <c r="C120">
        <f t="shared" si="6"/>
        <v>3.8E-3</v>
      </c>
      <c r="D120">
        <f t="shared" si="7"/>
        <v>1.0000000000000001E-5</v>
      </c>
      <c r="E120">
        <f t="shared" si="9"/>
        <v>-5.5727542122497971</v>
      </c>
      <c r="F120">
        <f t="shared" si="8"/>
        <v>2.6315789473684214E-3</v>
      </c>
    </row>
    <row r="121" spans="1:6" x14ac:dyDescent="0.35">
      <c r="A121">
        <v>595</v>
      </c>
      <c r="B121">
        <v>3.88</v>
      </c>
      <c r="C121">
        <f t="shared" si="6"/>
        <v>3.8799999999999998E-3</v>
      </c>
      <c r="D121">
        <f t="shared" si="7"/>
        <v>1.0000000000000001E-5</v>
      </c>
      <c r="E121">
        <f t="shared" si="9"/>
        <v>-5.551920125346955</v>
      </c>
      <c r="F121">
        <f t="shared" si="8"/>
        <v>2.5773195876288664E-3</v>
      </c>
    </row>
    <row r="122" spans="1:6" x14ac:dyDescent="0.35">
      <c r="A122">
        <v>600</v>
      </c>
      <c r="B122">
        <v>3.78</v>
      </c>
      <c r="C122">
        <f t="shared" si="6"/>
        <v>3.7799999999999999E-3</v>
      </c>
      <c r="D122">
        <f t="shared" si="7"/>
        <v>1.0000000000000001E-5</v>
      </c>
      <c r="E122">
        <f t="shared" si="9"/>
        <v>-5.5780312693506406</v>
      </c>
      <c r="F122">
        <f>D122/C122</f>
        <v>2.6455026455026458E-3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C72F5-CD02-46CC-BC83-601160A0ECB1}">
  <dimension ref="A1:O6"/>
  <sheetViews>
    <sheetView workbookViewId="0">
      <selection activeCell="D19" sqref="D19"/>
    </sheetView>
  </sheetViews>
  <sheetFormatPr defaultRowHeight="14.5" x14ac:dyDescent="0.35"/>
  <cols>
    <col min="1" max="1" width="13.90625" customWidth="1"/>
    <col min="2" max="3" width="11.6328125" customWidth="1"/>
    <col min="4" max="4" width="12.54296875" customWidth="1"/>
    <col min="9" max="9" width="9" customWidth="1"/>
  </cols>
  <sheetData>
    <row r="1" spans="1:15" x14ac:dyDescent="0.35">
      <c r="A1" t="s">
        <v>41</v>
      </c>
      <c r="D1" s="7" t="s">
        <v>42</v>
      </c>
      <c r="G1" s="7" t="s">
        <v>43</v>
      </c>
      <c r="J1" s="7" t="s">
        <v>46</v>
      </c>
      <c r="M1" s="7" t="s">
        <v>45</v>
      </c>
    </row>
    <row r="2" spans="1:15" x14ac:dyDescent="0.35">
      <c r="D2" s="7"/>
      <c r="G2" s="7" t="s">
        <v>38</v>
      </c>
      <c r="H2">
        <v>-5.5560374485072295</v>
      </c>
      <c r="I2">
        <v>2.5643864780348384E-3</v>
      </c>
      <c r="J2" s="7" t="s">
        <v>38</v>
      </c>
      <c r="K2">
        <v>-5.5560374485072295</v>
      </c>
      <c r="L2">
        <v>2.5643864780348384E-3</v>
      </c>
      <c r="M2" s="7" t="s">
        <v>38</v>
      </c>
      <c r="N2">
        <v>-5.1825945480456683</v>
      </c>
      <c r="O2">
        <v>3.2290536248134379E-3</v>
      </c>
    </row>
    <row r="3" spans="1:15" x14ac:dyDescent="0.35">
      <c r="D3" s="7"/>
      <c r="G3" s="7" t="s">
        <v>39</v>
      </c>
      <c r="H3">
        <f>8*10^-3</f>
        <v>8.0000000000000002E-3</v>
      </c>
      <c r="I3">
        <v>1E-4</v>
      </c>
      <c r="J3" s="7" t="s">
        <v>39</v>
      </c>
      <c r="K3">
        <f>8*10^-3</f>
        <v>8.0000000000000002E-3</v>
      </c>
      <c r="L3">
        <v>1E-4</v>
      </c>
      <c r="M3" s="7" t="s">
        <v>39</v>
      </c>
      <c r="N3">
        <f>8*10^-3</f>
        <v>8.0000000000000002E-3</v>
      </c>
      <c r="O3">
        <v>1E-4</v>
      </c>
    </row>
    <row r="4" spans="1:15" x14ac:dyDescent="0.35">
      <c r="D4" s="7"/>
      <c r="G4" s="7" t="s">
        <v>47</v>
      </c>
      <c r="H4" s="5">
        <f>0.0396</f>
        <v>3.9600000000000003E-2</v>
      </c>
      <c r="I4">
        <f>0.00005</f>
        <v>5.0000000000000002E-5</v>
      </c>
      <c r="J4" s="7" t="s">
        <v>47</v>
      </c>
      <c r="K4" s="5">
        <f>0.0396</f>
        <v>3.9600000000000003E-2</v>
      </c>
      <c r="L4">
        <f>0.00005</f>
        <v>5.0000000000000002E-5</v>
      </c>
      <c r="M4" s="7" t="s">
        <v>47</v>
      </c>
      <c r="N4" s="5">
        <f>0.0396</f>
        <v>3.9600000000000003E-2</v>
      </c>
      <c r="O4">
        <f>0.00005</f>
        <v>5.0000000000000002E-5</v>
      </c>
    </row>
    <row r="5" spans="1:15" x14ac:dyDescent="0.35">
      <c r="D5" s="7"/>
      <c r="G5" s="7" t="s">
        <v>48</v>
      </c>
      <c r="H5">
        <v>2.96E-8</v>
      </c>
      <c r="I5">
        <v>1.4833745312630929E-9</v>
      </c>
      <c r="J5" s="7" t="s">
        <v>48</v>
      </c>
      <c r="K5">
        <v>3.0899999999999999E-8</v>
      </c>
      <c r="L5">
        <v>1.5482328636222653E-9</v>
      </c>
      <c r="M5" s="7" t="s">
        <v>48</v>
      </c>
      <c r="N5">
        <v>3.0899999999999999E-8</v>
      </c>
      <c r="O5">
        <v>1.5482328636222653E-9</v>
      </c>
    </row>
    <row r="6" spans="1:15" x14ac:dyDescent="0.35">
      <c r="H6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Data</vt:lpstr>
      <vt:lpstr>Time Corrected Decreasing S</vt:lpstr>
      <vt:lpstr>Decreasing S</vt:lpstr>
      <vt:lpstr>Time correction Increasing S</vt:lpstr>
      <vt:lpstr>Increasing S</vt:lpstr>
      <vt:lpstr>Lambda 1</vt:lpstr>
      <vt:lpstr>Lambda 2</vt:lpstr>
      <vt:lpstr>Test 1</vt:lpstr>
      <vt:lpstr>Test 2</vt:lpstr>
      <vt:lpstr>Test 3</vt:lpstr>
      <vt:lpstr>Sheet7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GILLING, PADDY S. (Student)</dc:creator>
  <cp:keywords/>
  <dc:description/>
  <cp:lastModifiedBy>GILSON, LUCAS B. (Student)</cp:lastModifiedBy>
  <cp:revision/>
  <dcterms:created xsi:type="dcterms:W3CDTF">2025-02-17T14:45:56Z</dcterms:created>
  <dcterms:modified xsi:type="dcterms:W3CDTF">2025-03-16T21:28:04Z</dcterms:modified>
  <cp:category/>
  <cp:contentStatus/>
</cp:coreProperties>
</file>